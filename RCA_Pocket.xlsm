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3"/>
  <workbookPr/>
  <xr:revisionPtr revIDLastSave="0" documentId="8_{2EEEC0A7-3E6B-45FF-B7D6-77D10EC614FF}" xr6:coauthVersionLast="47" xr6:coauthVersionMax="47" xr10:uidLastSave="{00000000-0000-0000-0000-000000000000}"/>
  <bookViews>
    <workbookView xWindow="0" yWindow="0" windowWidth="16384" windowHeight="8192" tabRatio="500" firstSheet="1" activeTab="1" xr2:uid="{00000000-000D-0000-FFFF-FFFF00000000}"/>
  </bookViews>
  <sheets>
    <sheet name="📊 Dados" sheetId="1" r:id="rId1"/>
    <sheet name="🗂️ Acompanhamento Issue" sheetId="2" r:id="rId2"/>
    <sheet name="📦 Arquivo" sheetId="3" r:id="rId3"/>
    <sheet name="👥 Responsáveis" sheetId="4" r:id="rId4"/>
  </sheets>
  <calcPr calcId="191028"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G7" i="1" l="1"/>
  <c r="G6" i="1"/>
  <c r="G5" i="1"/>
  <c r="G4" i="1"/>
  <c r="G3" i="1"/>
  <c r="G2" i="1"/>
</calcChain>
</file>

<file path=xl/sharedStrings.xml><?xml version="1.0" encoding="utf-8"?>
<sst xmlns="http://schemas.openxmlformats.org/spreadsheetml/2006/main" count="1491" uniqueCount="575">
  <si>
    <t>Key</t>
  </si>
  <si>
    <t>Resumo</t>
  </si>
  <si>
    <t>Status Jira</t>
  </si>
  <si>
    <t>Prioridade</t>
  </si>
  <si>
    <t>Data Criação</t>
  </si>
  <si>
    <t>Data Resolução</t>
  </si>
  <si>
    <t>Dias p/ Resolver</t>
  </si>
  <si>
    <t>DeV Responsável pelo Bug</t>
  </si>
  <si>
    <t>QA Responsável pelo Bug</t>
  </si>
  <si>
    <t>Qtd Vínculos</t>
  </si>
  <si>
    <t>Causa Raiz</t>
  </si>
  <si>
    <t>Time</t>
  </si>
  <si>
    <t>Área</t>
  </si>
  <si>
    <t>Tipo Erro (Auto)</t>
  </si>
  <si>
    <t>Ação Realizada no Bug</t>
  </si>
  <si>
    <t>Análise da Causa</t>
  </si>
  <si>
    <t>Tipo de Ajuste</t>
  </si>
  <si>
    <t>Possui TA</t>
  </si>
  <si>
    <t>Arquivo TA</t>
  </si>
  <si>
    <t>Resultado da Automação</t>
  </si>
  <si>
    <t>Contexto</t>
  </si>
  <si>
    <t>Problema Resolvido?</t>
  </si>
  <si>
    <t>QA Principal</t>
  </si>
  <si>
    <t>Dev Principal</t>
  </si>
  <si>
    <t>Issue de Acompanhamento</t>
  </si>
  <si>
    <t>Plano Ação/Lição Aprendida</t>
  </si>
  <si>
    <t>Analisado</t>
  </si>
  <si>
    <t>Data Filtragem</t>
  </si>
  <si>
    <t>MODAJOI-102168</t>
  </si>
  <si>
    <t>POS - travando em 45%</t>
  </si>
  <si>
    <t>Concluída</t>
  </si>
  <si>
    <t>P2 - Médio</t>
  </si>
  <si>
    <t>Marcos Eduardo Melo Mendonca</t>
  </si>
  <si>
    <t>Deivis de Los</t>
  </si>
  <si>
    <t>Atualização trava em 45% ao abrir POS, causada pela atualização microsoft</t>
  </si>
  <si>
    <t>FatInt</t>
  </si>
  <si>
    <t>POS</t>
  </si>
  <si>
    <t>Integração</t>
  </si>
  <si>
    <t>[Alteração no código] A inicialização do PerformanceCounter foi movida para uma thread separada com timeout de 5 segundos. Se não inicializar no tempo limite, o sistema registra um aviso no log e continua a sincronização normalmente sem a telemetria. Como o NetworkTrafficHelper é usado apenas para um log de debug interno, a funcionalidade do POS não é afetada. https://setupbr.microvix.com.br/po...</t>
  </si>
  <si>
    <t>Erro não era reproduzido internamente, apenas em ambientes windows 11 atualizado com path específicos que alteraram o protocolo de segurança mínimo do sistema, o deixando incompatível com o POS.</t>
  </si>
  <si>
    <t>Terceiros</t>
  </si>
  <si>
    <t>Não</t>
  </si>
  <si>
    <t>Não se Aplica</t>
  </si>
  <si>
    <t>Atualização de segurança da Microsoft que impactou na sincronização do POS recentes ou antigas (W11)</t>
  </si>
  <si>
    <t>Sim</t>
  </si>
  <si>
    <t>Vicente</t>
  </si>
  <si>
    <t>Luis</t>
  </si>
  <si>
    <t>Atualizar o Framework do POS com alto impacto, contemplando Homologação</t>
  </si>
  <si>
    <t>MODAJOI-101627</t>
  </si>
  <si>
    <t>POS - O reenvio da nota não obteve sucesso.</t>
  </si>
  <si>
    <t>Emanuelly Dresch</t>
  </si>
  <si>
    <t>Geovane Schmitt</t>
  </si>
  <si>
    <t>Configuração</t>
  </si>
  <si>
    <t>[Alteração no código] Feito ajuste no fluxo de reenvio de nota, para que ao reenviar seja validado as tags da reforma tributaria ocorrendo o calculo correto dos valores, preenchendo os campos necessários.</t>
  </si>
  <si>
    <t>No fluxo de reenvio de documentos, para NFC-e emitidas antes da v28, o sistema não recalculava os dados da reforma tributária (CBS/IBS). Assim, ao gerar o XML com as tags da reforma habilitadas, os campos permaneciam null, ocasionando erro do schema XML Rejeição 225.</t>
  </si>
  <si>
    <t>Código</t>
  </si>
  <si>
    <t>Cálculo de novos impostos não eram feitos no reenvio. Impacto da Reforma tributária.</t>
  </si>
  <si>
    <t>MODAJOI-102114</t>
  </si>
  <si>
    <t>Balanço (inventário): Ao realizar o balanço online o sistema não permite a bipagem em sequência ==================================</t>
  </si>
  <si>
    <t>P1 - Alto</t>
  </si>
  <si>
    <t>Willian Dias Brito</t>
  </si>
  <si>
    <t>Ana Paula Coelho</t>
  </si>
  <si>
    <t>Suprimentos</t>
  </si>
  <si>
    <t>Balanço</t>
  </si>
  <si>
    <t>Banco de Dados</t>
  </si>
  <si>
    <t>Foi obtido a referencia do input em tela para que fosse possível atribuir o foco após leitura do código de barras do produto.</t>
  </si>
  <si>
    <t>Refatoração do front-end da rotina de balanço, este cenário não foi validado</t>
  </si>
  <si>
    <t>CD28 - Verificar campo Quantidade ao Realizar Balanço Online.
CD37-Realizar Balanço online e validar movimentação de estoque no ERP
CD02-Executar e Cancelar Balanco Online
(+2 mais)</t>
  </si>
  <si>
    <t>Problema com foco no campo de leitura do código de barras</t>
  </si>
  <si>
    <t>Atenção a equipamentos externos e processos do usuário</t>
  </si>
  <si>
    <t>MODAJOI-101932</t>
  </si>
  <si>
    <t>POS - Vendas com QR Linx não Gera Nota Fiscal e Não Estorna a Cobrança</t>
  </si>
  <si>
    <t>Sistema</t>
  </si>
  <si>
    <t>[Alteração no código] Blindagem para sempre validar se as URLs necessárias para o pagamento estão devidamente preenchidas, caso não esteja, a mesma é consultada na base de dados antes de seguir</t>
  </si>
  <si>
    <t>Erro simulado ocorreu apenas uma vez; em diversas tentativas posteriores, não voltou a acontecer.
A causa era que as URLs do QRLinx não estavam carregadas no momento da consulta do status do pagamento. Com isso, não havia retorno indicando sucesso ou falha da transação.</t>
  </si>
  <si>
    <t>CD06-Realizar uma Venda Vitrine e Alterar o Pedido
CD029 - Pre Venda Pagamento QRLinx
CD10-Venda NFC-e com Reshop, Vale e Cartão de Crédito
(+2 mais)</t>
  </si>
  <si>
    <t>Criava o pagamento mas ao consultar se perdia, estava em branco.</t>
  </si>
  <si>
    <t>Tratativa para consultar a base as URLs e recarregar.</t>
  </si>
  <si>
    <t>MODAJOI-101740</t>
  </si>
  <si>
    <t>Catálogo Digital: Produto com saldo acusando sem saldo</t>
  </si>
  <si>
    <t>Júlia Inácio Capanema</t>
  </si>
  <si>
    <t>Caroline Becker Gonçalves Corrêa</t>
  </si>
  <si>
    <t>Catalogo Digital</t>
  </si>
  <si>
    <t>Problema será corrigido pela MODAJOI-101517</t>
  </si>
  <si>
    <t>Problema no computed responsável por validar se o produto tinha estoque válido quando o filtro apenasComSaldoPositivo estava ativo. A lógica anterior assumia que tamanho e cor sempre existiriam ao mesmo tempo e, em produtos que possuem apenas grade de tamanh* (sem grade de cor cadastrada), a validação acabava: retornando `false` indevidamente (bloqueando o botão), ou
tentando validar cor selecionada mesmo quando não existe grade de cor.</t>
  </si>
  <si>
    <t>CD001-Pre-venda com Acao Promocional Tipo 1
CD002-Pre-venda com Acao Promocional Tipo 3 com Link de Pagamento
CD003-Pre-venda com Pagamento na Entrega
(+2 mais)</t>
  </si>
  <si>
    <t>Ao implementar melhoria foi encontrado este bug. Relacionado a parametrização específica do portal.</t>
  </si>
  <si>
    <t>Raul</t>
  </si>
  <si>
    <t>MODAJOI-102156</t>
  </si>
  <si>
    <t>DizzyEyewear - Faturamento de pedido com intermediador Marketplace ==================================</t>
  </si>
  <si>
    <t>Kassia Mabily Fraga Souza</t>
  </si>
  <si>
    <t>Déborah Brenda Dos Santos</t>
  </si>
  <si>
    <t>B2C</t>
  </si>
  <si>
    <t>[Alteração no código] Causa Consulta SQL de obtenção de pagamentos B2C estava com JOIN incorreto com a tabela `planos` para o intermediador, causando efeito multiplicador (retornando vários “pagamentos” para a mesma venda quando havia intermediador configurado) e disparando a inconsistência: “O Total dos Pagamentos da Venda ... confere com o Total da Venda ...”. Solução Corrigido o JOIN do plin...</t>
  </si>
  <si>
    <t>Quando temos intermediador configurado, é definido um plano de pagamento padrão para o intermediador, entretanto, o sistema não estava verificando o plano de pagamento do intermediador, mas sim o plano salvo dentro do pedido em si, causando uma listagem de todos os pagamentos que utilizavam o mesmo plano do pedido, em vez do plano de pagamento do intermediador do pedido.</t>
  </si>
  <si>
    <t>Join da consulta foi ajustado e já constava incorreto na evolução</t>
  </si>
  <si>
    <t>Amanda</t>
  </si>
  <si>
    <t>MODAJOI-102173</t>
  </si>
  <si>
    <t>Instabilidade ao abrir ERP - Lentidão ==================</t>
  </si>
  <si>
    <t>P0 - Altissimo</t>
  </si>
  <si>
    <t>Fernando Luis Pereira</t>
  </si>
  <si>
    <t>Indisponibilidade</t>
  </si>
  <si>
    <t>Conclusão do Incidente: O incidente de lentidão reportado no Microvix foi encerrado após a confirmação de estabilização do provedor de segurança e entrega de conteúdo (Azion). Causa Raiz: Instabilidade na camada de WAF (Azion), resultando em latência elevada e tempos de resposta intermitentes em nível global/regional. Resolução: Ações de mitigação foram aplicadas pelo parceiro tecnológico. Vali...</t>
  </si>
  <si>
    <t>Devido a um ataque na plataforma da Azion, tivemos um problema de sincronização dos ERPS. Após a  retirada da Azion, o sistema se estabilizou. A Azion foi retornada no final do dia, assim que eles corrigiram os problemas</t>
  </si>
  <si>
    <t>CD01-Validar Funcionalidades e Bloqueios Gerais da Rotina
CD027-Gerar Pedido no Catalogo Digital com Cliente Novo
CD04-Entrada com Associação Automática de Produto - Cód. Produto x Referência
(+2 mais)</t>
  </si>
  <si>
    <t>Não temos ação para ser feita. Só haveria solução se tivéssemos outro provedor de WAF como backup.</t>
  </si>
  <si>
    <t>MODAJOI-101670</t>
  </si>
  <si>
    <t>O processamento automático do Conciliador de Cartões não é realizado desde o dia 01/04/2026.</t>
  </si>
  <si>
    <t>Jhony Kennyth Viebrantz</t>
  </si>
  <si>
    <t>FFC</t>
  </si>
  <si>
    <t>Conciliadores</t>
  </si>
  <si>
    <t>[Alteração no código] Ajuste na consulta sql que busca o processamento. Ajuste na associação dos terminais para só fazer quando existir.</t>
  </si>
  <si>
    <t>MODAJOI – 100332 – Após ajuste dessa issue, acabou gerando o problema dos robos. O teste da issue deveria ser feito também na develop e o teste foi feito somente em QA. Esse foi o motivo da issue. Só tivemos muitos vínculos por conta da mensagem que o processo exibia em tela e fazia com que os clientes entrassem em contato com o suporte.</t>
  </si>
  <si>
    <t>CD01 - Processamentos Por Periodo
CD02 - Processamentos Por Data de Pagamento
CD03 - filtrar por Processamento Finalizado
(+2 mais)</t>
  </si>
  <si>
    <t>Não detectou</t>
  </si>
  <si>
    <t>Feito somente em homologação – não rodou na develop</t>
  </si>
  <si>
    <t>Michelle Pereira</t>
  </si>
  <si>
    <t>Os testes devem sempre ser realizados em ambiente da DEVELOP também em vez de só ambiente de  homologação./Após o Copilot sugerir mudanças é importante ao menos realizar um teste rápido (pelo Dev) para garantir que o processo não se quebrou após a alteração.</t>
  </si>
  <si>
    <t>MODAJOI-101020</t>
  </si>
  <si>
    <t>Venda Fácil - Pagamento não registrado na Impressão de pedido separação</t>
  </si>
  <si>
    <t xml:space="preserve">Joao Vinicius Souza Goncalves </t>
  </si>
  <si>
    <t>Venda Fácil</t>
  </si>
  <si>
    <t>[Alteração no código] Realizado ajuste para que se oculte um dos pagamento em casos de 2 pagamentos iguais na impressão de pedido separação. O Distinct causava essa ocultação de uma das ocorrências do pagamento, sendo que ele está representado na codplanocartao.</t>
  </si>
  <si>
    <t>O problema foi causado pois alteramos uma query em uma API utilizada por inúmeras origens (ES - ObterFaturasVenda). Deste modo, aprendemos e aplicamos posteriormente uma boa prática que seria isolar o fluxo que necessita de correção, garantindo que nenhum outro fluxo seja afetado por essa correção desenvolvida, principalmente em APIs e metodos tão usados como foi este caso.</t>
  </si>
  <si>
    <t>CD02-Pre Venda PAF NFCe
CD030-PV Produto com Imagem e Pedido Separacao
CD031-PV Produto com Localização WMS
(+2 mais)</t>
  </si>
  <si>
    <t>Vendas que utilizam 2 pagamentos com mesmo plano e valor com mesmo cartão (ObterFaturasVendas). Query duplicada Pagamento era impresso duplicado apenas no comprovante</t>
  </si>
  <si>
    <t>Daiane</t>
  </si>
  <si>
    <t>Gisele</t>
  </si>
  <si>
    <t>Atenção ao alterar querys que indicam ampla utilização dentro do ERP. Mapear mais cenários de teste ao QA. Quando mexer em impressões do VF se atentar a possíveis impactos</t>
  </si>
  <si>
    <t>MODAJOI-102138</t>
  </si>
  <si>
    <t>Venda Fácil - Campanha Reshop não Funciona Corretamente</t>
  </si>
  <si>
    <t>Á loja está parametrizada com o tenant 2334 (usuário mmartan.franquia.integrador), mas não existe nesse tenant, mas sim no 2344: !screenshot-1.png|thumbnail!</t>
  </si>
  <si>
    <t>Não se trata de erro e sim problemas de configuração. A demanda foi aberta de forma incorreta.</t>
  </si>
  <si>
    <t>CD029 - Pre Venda Pagamento QRLinx
CD10-Venda NFC-e com Reshop, Vale e Cartão de Crédito
CD23-Venda NFC-e Forma de Pagamento QR Linx
(+2 mais)</t>
  </si>
  <si>
    <t>Demanda aberta incorretamente</t>
  </si>
  <si>
    <t>MODAJOI-102019</t>
  </si>
  <si>
    <t>Widget financeiro não carrega informações ==================================</t>
  </si>
  <si>
    <t>Marcos Felipe Dantas Da Costa</t>
  </si>
  <si>
    <t>Gestão Financeira</t>
  </si>
  <si>
    <t>Entramos em contato com o time da equals e eles religaram o serviço, até terem outra alternativa para nos passar.</t>
  </si>
  <si>
    <t>Equals desativou um EP que era utilizado para capturar informações do cliente. Foi conversado com a Equals a respeito, após religue do EP o sistema voltou a funcionar</t>
  </si>
  <si>
    <t>CD01 - Acessar Tela Conciliador de Cartoes
CD01 - Processamentos Por Periodo
CD01-Acessar Fluxo de Caixa
(+2 mais)</t>
  </si>
  <si>
    <t>Problema com terceiros</t>
  </si>
  <si>
    <t>Fabio Elias</t>
  </si>
  <si>
    <t xml:space="preserve">A Equals irá repassar uma melhor solução para o problema </t>
  </si>
  <si>
    <t>MODAJOI-101774</t>
  </si>
  <si>
    <t>Após uma migração de empresa (Empresa 1 &gt; Empresa 2), o cliente trocou de adquirente de pagamentos (REDECARD &gt; STONE), mas os planos de pagamento na base de dados não foram atualizados corretamente...</t>
  </si>
  <si>
    <t>Elizabeth Gordeichuk</t>
  </si>
  <si>
    <t>Após uma migração de empresa (Empresa 1 &gt; Empresa 2), o cliente trocou de adquirente de pagamentos (REDECARD &gt; STONE), mas os planos de pagamento na base de dados não foram atualizados corretamente.</t>
  </si>
  <si>
    <t>TEF</t>
  </si>
  <si>
    <t>elizabeth.gordeichuk, o fluxo de bug não é tratado pelo time de BD, deve ser encaminhado para o time de sustentação.</t>
  </si>
  <si>
    <t>Não se trata de bug e sim uma tarefa para o time de BD – aberto incorretamente</t>
  </si>
  <si>
    <t>CD024-Pre-Venda com NF Consumidor
CD001-Pre Venda 1 Servico Pgto Parcial Debito
CD003-PV PF 1 Produto Pgto Parcial Credito
(+2 mais)</t>
  </si>
  <si>
    <t>Não se trata de bug, foi aberto incorretamente</t>
  </si>
  <si>
    <t>Maica</t>
  </si>
  <si>
    <t>Otávio</t>
  </si>
  <si>
    <t>MODAJOI-101685</t>
  </si>
  <si>
    <t>Entrada XML NF-e: Importação XML travada ==================================</t>
  </si>
  <si>
    <t>Fabio Elias Alves Vaz</t>
  </si>
  <si>
    <t>Entrada XML</t>
  </si>
  <si>
    <t>A correção foi realizada na MODAJOI-101694 para voltar a execução do Worker de importação de NF-e e deixar de utilizar em definitivo o console. O ajuste será publicado amanhã (08/04). Para importar as notas pendentes e não acumular mais NF's sem importação, o processamento foi executado de forma manual. izabella.felix PSC.</t>
  </si>
  <si>
    <t>Ocorreram dois erros – O worker não funcionava corretamente no AKS – o que só foi visto em produção pois em homologação ele funcionava. Ocorreu também o problema do código – uma parte se perdeu antes de publicar as alterações.</t>
  </si>
  <si>
    <t>Infraestrutura</t>
  </si>
  <si>
    <t>Tests\ERP\Suprimentos\Estoque\Entrada_XML_NFe\Entrada_XML_NFe_ExpEstoque.robot
Tests\ERP\Suprimentos\Estoque\Entrada_XML_NFe\Entrada_XML_NFe_ExpFiscal.robot</t>
  </si>
  <si>
    <t>Os testes não tem uma volumetria igual a base de produção, logo não detectaria o maior problema dessa issue que foi o worker.</t>
  </si>
  <si>
    <t>Jenifer Lopes</t>
  </si>
  <si>
    <t>Vinícius Souza Martins</t>
  </si>
  <si>
    <t>220402/https://jira.linx.com.br/browse/MODAJOI-102245</t>
  </si>
  <si>
    <t xml:space="preserve">Criar TA para a importação de XML / Melhorar a comunicação entre times (avaliar a melhor maneira) /  </t>
  </si>
  <si>
    <t>MODAJOI-101523</t>
  </si>
  <si>
    <t>Comprovante NF Consumidor sendo gerado com planos de pagamento duplicados. ==================================</t>
  </si>
  <si>
    <t>[Alteração no código] Ajuste para corrigir o problema citado na issue sem que o erro da https://jira.linx.com.br/browse/MODAJOI-101020 volte a acontecer. A correção é segura pois desfaz o que causou esta issue em que estamos. Mas cria um novo fluxo que garantirá que a listagem de pedidos separação seja ajustada, para que a MODAJOI-101020 volte a ter problemas.</t>
  </si>
  <si>
    <t>CD51-Alterar Planos de Pagamento após finalizar a venda
CD01-Realizar uma Venda Vitrine
CD02-Realizar uma Venda Vitrine sem Inserir Cliente
(+2 mais)</t>
  </si>
  <si>
    <t>MODAJOI-101379</t>
  </si>
  <si>
    <t>Pedido faturado no POS não sincroniza status 'faturado' no painel B2C, permitindo que o cliente consiga faturar duas vezes o mesmo pedido ==================</t>
  </si>
  <si>
    <t>Leticia Saraiva Chaves</t>
  </si>
  <si>
    <t>Outro</t>
  </si>
  <si>
    <t>Problema não foi simulado na última versão do POS (7.0.30.0). Alinhado com suporte novo teste com cliente usando a versão 7.0.30.0. Solicitação da correção retroativa através da MODAJOI-101854.</t>
  </si>
  <si>
    <t>O problema não foi simulado na útlima versão do POS, e não foi realizado testes 
em versões anteriores. Mas foi alinhado testes com cliente e suporte e problema
não ocorreu mais na última versão.</t>
  </si>
  <si>
    <t>CD10-Venda NFC-e com Reshop, Vale e Cartão de Crédito
CD01-Realizar Durante a Venda o Cadastro de Endereco
CD02-Realizar uma Venda Vitrine sem Inserir Cliente
(+2 mais)</t>
  </si>
  <si>
    <t>Pedido era faturado no POS e o status Faturado não era sincronizado. Problema presente em versões antigas do POS. Não ocorria com todos os pedidos.</t>
  </si>
  <si>
    <t>MODAJOI-101424</t>
  </si>
  <si>
    <t>Troca Fácil: Não localiza nota na pesquisa por cliente/produto ==================================</t>
  </si>
  <si>
    <t>Altimara Wrobel Carneiro Schmitz</t>
  </si>
  <si>
    <t>Trocas</t>
  </si>
  <si>
    <t>[Alteração no código] Feito o ajuste nas condições para incluir os left joins corretamente, ajustando, assim a busca por cliente e produto no Troca Fácil.</t>
  </si>
  <si>
    <t>A query estava tentando acessar uma coluna de uma tabela (me.item_bonificado), 
onde o alias não estava disponível no contexto do SQL naquele momento. O left join
movimento_extensao só estava acontecendo se atendesse a condição 
(!utilizaBaseCentral &amp;&amp; string.IsNullOrEmpty(command.DocumentoCliente)) e 
nesse caso, deveria ser apenas se não utiliza base central.</t>
  </si>
  <si>
    <t>CD01-Realizar Troca e Zerar Vale Gerado
CD16-Cancelamento de Troca
Relatorio Vale Trocas
(+2 mais)</t>
  </si>
  <si>
    <t>Cadastramos cliente sem CPF e foi feita uma correção neste cenário. Esse ajuste no SQL precisou de refatoração</t>
  </si>
  <si>
    <t>Independente do parâmetro de informar ou não o CPF, gravar o cód. cliente na tabela troca_unficada</t>
  </si>
  <si>
    <t>MODAJOI-101577</t>
  </si>
  <si>
    <t>Painel NFS-e: Filtro não é retornado</t>
  </si>
  <si>
    <t>P3 - Baixo</t>
  </si>
  <si>
    <t>Serviços</t>
  </si>
  <si>
    <t>[Alteração no código] Como correção, o front-end passou a enviar apenas os IDs dos status no parâmetro StatusNfse, além de implementar a serialização utilizando a biblioteca qs com a configuração arrayFormat: 'repeat'. Com isso, os parâmetros passaram a ser enviados no formato esperado pelo ASP.NET Core, por exemplo: StatusNfse=4&amp;StatusNfse=5, permitindo o correto mapeamento e funcionamento do ...</t>
  </si>
  <si>
    <t>Problema causado pela MODAJOI-97910. 
Foi verificado que a forma como o front-end estava montando os filtros na query da requisição estava incorreta. 
O filtro de status enviava objetos completos na querystring, 
utilizando um formato de array inadequado (ex.: Status[] = {} e StatusNfse[] = 4), 
o que impedia o backend de mapear corretamente o campo List&lt;int&gt; StatusNfse.</t>
  </si>
  <si>
    <t>CD08-Consultar NBS
CD002-Pre Venda de Servico + Produto com desconto para cliente novo
CD01-Obter Link Agendamento Online
(+2 mais)</t>
  </si>
  <si>
    <t>Query não estava concatenando as propriedades e foi precisa um ajuste simples na forma que a query era montada para correta geraçã do filtro</t>
  </si>
  <si>
    <t>Guilherme</t>
  </si>
  <si>
    <t>MODAJOI-101514</t>
  </si>
  <si>
    <t xml:space="preserve"> Consumo incorreto Voucher Trade-in- ERP</t>
  </si>
  <si>
    <t>[Alteração no código] Ajustada a lógica de exibição da lista de vales para que, ao adicionar um vale ao pagamento, ele seja removido das opções disponíveis, impedindo a utilização duplicada do mesmo vale na venda.</t>
  </si>
  <si>
    <t>Ao adicionar um vale presente como forma de pagamento, ele continuava 
aparecendo na lista de vales disponíveis para seleção, possibilitando que o 
mesmo vale fosse utilizado mais de uma vez na mesma venda.</t>
  </si>
  <si>
    <t>CD026-Venda de Produtos Com Pagamento na Entrega - Tipo Voucher
CD011-Venda NFC-e com Forma de Pagamento PIX FATURA BX AUTOMATICA
CD011-Venda NFe com Forma de Pagamento PIX FATURA BX AUTOMATICA
(+2 mais)</t>
  </si>
  <si>
    <t>Vale presente permitia mais de uma adição na venda. SAMSUNG passou a usar vale-presente no VF sendo que até então era incomum.</t>
  </si>
  <si>
    <t>Criar teste automatizado com vale-presente no VF para evitar inserção que exceda o valor total da venda ou restante (usando 2x o mesmo)</t>
  </si>
  <si>
    <t>MODAJOI-101575</t>
  </si>
  <si>
    <t>Número Bilhete de seguro gerados com sequencial incorreto no POS, consequentemente não são válidos para a Operadora Status Bilhete: 'Processo não concluído com a Operadora'.</t>
  </si>
  <si>
    <t>Anderson Petry</t>
  </si>
  <si>
    <t>Número Bilhete de seguro gerados com sequencial incorreto no POS, consequentemente não são válidos para a Operadora</t>
  </si>
  <si>
    <t>[Alteração no código] Causa: Solução:</t>
  </si>
  <si>
    <t>Erro na validação de campo , onde em determinadas vendas ocorria o erro. O campos é usando em outro momento na rotina.</t>
  </si>
  <si>
    <t>CD10-Venda NFC-e com Reshop, Vale e Cartão de Crédito
CD12 - Incluir Faturas para Agrupamento
Cenário 02: Validar campos obrigatórios inserção entradas de compras modelo 1/1A
(+2 mais)</t>
  </si>
  <si>
    <t>Não convertia o número por não comunicar com a API. Impacto somente em um portal 7960. Dependência externa com API própria de seguro Samsung</t>
  </si>
  <si>
    <t>MODAJOI-101647</t>
  </si>
  <si>
    <t>Cliente entrou em contato informando que a contabilidade validou o arquivo SPED e retornou inúmeros erros.</t>
  </si>
  <si>
    <t>SPED Fiscal</t>
  </si>
  <si>
    <t>Correção Código</t>
  </si>
  <si>
    <t>[Alteração no código] Ao criar a pasta 020 do sped para o ano de 2026 faltou implementar a criação do registro E116 para este ano.</t>
  </si>
  <si>
    <t xml:space="preserve">Problema causado pela MODAJOI-96572
Ao atualizar o projeto SPED para o ano de 2026, não foi criada a regra para implementação do registro E116 para o ano 2026.
Solução: Criado a regra conforme anos anteriores. </t>
  </si>
  <si>
    <t>CD01-Validar Abertura e Geracao do SPED EFD Mes Anterior
CD02-Validar Abertura e Geracao do SPED EFD Mes Atual
CD05-Selecionar um registro e clicar na opção 'Faturamento'
(+2 mais)</t>
  </si>
  <si>
    <t>Nova pasta para SPED 2026 faltou um método específico de geração do registro E116</t>
  </si>
  <si>
    <t>Flavia Doge</t>
  </si>
  <si>
    <t>Jean Carlos</t>
  </si>
  <si>
    <t>Colocar como critério para sempre validar a geração desse registro desde as validações iniciais (testes), com imposto ou sem imposto.</t>
  </si>
  <si>
    <t>MODAJOI-101401</t>
  </si>
  <si>
    <t>Cliente relata que ao tentar importar o OFX, no Conciliador Bancário, é apresentada mensagem de erro.</t>
  </si>
  <si>
    <t>[Alteração no código] Detalhes: Foi identificado que o erro ocorria na importação do OFX porque alguns lançamentos vinham com a tag CHECKNUM vazia no arquivo de origem, algo comum em transações como PIX, tarifas e resgates. Nesses casos, a biblioteca retornava null para o campo correspondente, e o sistema tentava aplicar Trim() diretamente sobre esse valor, gerando NullReferenceException. A cor...</t>
  </si>
  <si>
    <t>A causa raiz foi uma divergência de implementação entre as versões 100 e 102 no tratamento da tag CHECKNUM do OFX.
Na versão 100 já existia validação para quando essa tag viesse nula ou vazia, evitando quebra no processamento. Na versão 102, essa proteção ainda não havia sido aplicada.
Como a tag CHECKNUM não é obrigatória e o Santander passou a enviá-la vazia em algumas transações, coisa que não fazia antes, a falha começou a ocorrer em volume maior, gerando 10 casos vinculados.
A correção foi centralizar essa validação em um método comum para ambas as versões, padronizando o comportamento e tornando a importação mais resiliente para arquivos OFX com tags opcionais não preenchidas.
Como lição aprendida, reforçamos a necessidade de tratar defensivamente campos opcionais e evitar divergência de regras entre versões.</t>
  </si>
  <si>
    <t xml:space="preserve">CD18-Conciliar Bancario Novo Banco do Brasil
</t>
  </si>
  <si>
    <t>O uso de arquivo – extrato fixo – não permitiu pegar a alteração realizada pelo banco no layout dos extratos</t>
  </si>
  <si>
    <t>https://jira.linx.com.br/browse/MODAJOI-101738</t>
  </si>
  <si>
    <t>Nelson irá realizar um levantamento de diferença entre as versõs do arquivo (100 e 102) para verificar qual cliente usa e quais medidas podemos tomar para prevenir novas trocas de versões de outros bancos além do Santander.</t>
  </si>
  <si>
    <t>MODAJOI-101516</t>
  </si>
  <si>
    <t>[DERMAGE] - Erro API REST PreVendas</t>
  </si>
  <si>
    <t>Gustavo Kuno</t>
  </si>
  <si>
    <t>Não Mapeado</t>
  </si>
  <si>
    <t>Causa: Atualização do gerenciador de APIs (APIM) programada e executada hoje, 01/04/2026 às 06:30 Solução: Realizado a re-aplicação da release de atualização no APIM.</t>
  </si>
  <si>
    <t>Incidente relacionado a atualização da infraestrutura de replicação do APIM. No dia 01/04/2026 foi formalizado uma 
janela de manutenção para essa atividade. </t>
  </si>
  <si>
    <t>CD01-Atualizar Anotacao de Fatura com Sucesso
CD04-Listar Vendedores e Alterar</t>
  </si>
  <si>
    <t>070401</t>
  </si>
  <si>
    <t>Gustavo Kuno já tem um plano de ação para ajustar a questão de DEVOPS para quando forem liberadas alterações que mexam com APIM</t>
  </si>
  <si>
    <t>MODAJOI-101558</t>
  </si>
  <si>
    <t>Erro ao gerar arquivo de remessa para registro no banco ==================================</t>
  </si>
  <si>
    <t>Nelson Campagnaro Junior</t>
  </si>
  <si>
    <t>Detalhes: O erro principal estava no campo Nosso Número. Houve uma alteração na lógica de montagem desse campo para atender um cenário que estava usando configuração do Sicoob, mas esse ajuste acabou impactando. Antes, o Nosso Número era montado em um formato curto; depois da alteração, ele passou a concatenar blocos que levavam o campo para 24 posições, enquanto no layout CNAB 400 do Safra ess...</t>
  </si>
  <si>
    <t xml:space="preserve">A causa raiz foi um efeito colateral de uma alteração anterior feita na demanda MODAJOI-94354.
Nessa alteração, uma regra relacionada ao Sicoob acabou impactando indevidamente a classe do Banco Safra, fazendo com que o campo Nosso Número fosse salvo e gerado com tamanho maior que o permitido no layout CNAB 400 do banco.
Como esse campo passou a ter mais caracteres do que o esperado, houve desalinhamento na linha da remessa. Além disso, identificamos que campos como multa e tipo de inscrição do pagador também não estavam com largura fixa, o que podia deixar a linha detalhe fora do padrão de 400 posições.
A correção consistiu em ajustar a montagem do Nosso Número conforme a regra correta do Safra, padronizar a largura fixa dos campos do detalhe e validar novamente o arquivo gerado. Após isso, a remessa voltou a ser gerada e validada corretamente.
Como lição aprendida, o incidente reforça a importância de isolar regras específicas por banco, evitando que ajustes realizados para uma instituição financeira impactem indevidamente a implementação de outra, já fazemos isso, mas é importante sempre manter a atenção nesses casos para não implementar regra de um banco na classe de outro.
Também ficou evidente a necessidade de garantir que todos os campos de arquivos CNAB sejam tratados com validação estrita de tamanho, posicionamento e formatação, pois qualquer divergência, mesmo pequena, pode comprometer toda a estrutura do arquivo e gerar rejeição bancária.
Também, o caso reforça a importância de manter o layout de remessa sempre atualizado e aderente ao manual vigente do banco safra.com.br/data/files/AB/37/35/DE/E0FAC910CFA329C9E3ADF9C2/CNAB 400_03.26.pdf, validando periodicamente se a implementação sistêmica continua compatível com o padrão exigido pela instituição financeira. </t>
  </si>
  <si>
    <t>CD17-Emitir Remessa em Consignação com Acerto Vendendo Validando CBS e IBS Estadual com tributação normal
CD18-Emitir Remessa em Consignação com Acerto Vendendo Validando CBS e IBS Estadual com tributação Reduzida - 40%
CD19-Emitir Remessa em Consignação com Acerto Vendendo Validando CBS e IBS Estadual com tributação Reduzida - 100%
(+2 mais)</t>
  </si>
  <si>
    <t>Existe um projeto de análise e criação, possivelmente, dos arquivos CNABs- remessa e retorno – em TA</t>
  </si>
  <si>
    <t>MODAJOI-101048</t>
  </si>
  <si>
    <t>Catálogo digital: Produtos sem saldo não apresentados mesmo sem filtro de somente produtos com saldo ==================================</t>
  </si>
  <si>
    <t>[Alteração no código] Causa No Catálogo Digital, a condição que filtra tamanhos/cores com saldo positivo estava invertida: mesmo sem o filtro “somente itens com saldo” habilitado, o front acabava removendo variações sem saldo, exibindo apenas as que tinham saldo (ex.: somente tamanhos 2 e 10). Além disso, os parâmetros iniciais do catálogo (`ParametrosIniciais`) podiam vir como string JSON, e a...</t>
  </si>
  <si>
    <t>Alterações da MODAJOI-98280 deixou o filtro  "Somente itens com saldo" invertido. Nessa demanda em específico, houve alterações de regras de seleção de grades na tela de detalhamento do produto</t>
  </si>
  <si>
    <t>CD005-Pre-venda com Acao Promocional Tipo 2
CD006-Permitir inserir produtos no Carrinho/Pedido
CD007-Permitir inserir produtos no Carrinho/Pedido-Produto que Controla Lote
(+2 mais)</t>
  </si>
  <si>
    <t>ENGCORP-44341</t>
  </si>
  <si>
    <t>Cobrar dos desenvolvedores o preenchimento do impacto da alteração, para que o QA possa realizar o teste de forma assertiva. Verificar os Tas de Catálogo digital e, em pelo menos um, criar um passo de marcar os produtos da grade e listar.</t>
  </si>
  <si>
    <t>MODAJOI-101380</t>
  </si>
  <si>
    <t>Vendas com cartão TEF através da SmartPOS está obrigando o preenchimento de NSU e Cod. de autorização.</t>
  </si>
  <si>
    <t>Fernando Sutter</t>
  </si>
  <si>
    <t>SmartPOS</t>
  </si>
  <si>
    <t>Correção na validação para NSU e código de autorização TEF no processamento de planos de pagamento</t>
  </si>
  <si>
    <t>Houve alterações no fluxo de obrigação de NSU e Cod. Aut para Pré-vendas e antecipações que afetou o comportamento dos pagamentos na SmartPOS (MODAJOI-95948)</t>
  </si>
  <si>
    <t>CD45-Venda Facil SmartPOS com Cartao Nao TEF- MODAJOI-89119
CD05-Acessar Venda Facil SmartPOS - MODAJOI-59726</t>
  </si>
  <si>
    <t>Os TA não conseguem ser feitos com transações TEF e SmartPOS</t>
  </si>
  <si>
    <t>Existe um alinhamento que, ao liberar uma alteração no VF, deve ser, por obrigatoriedade, feito um teste com SMART POS/ TEF</t>
  </si>
  <si>
    <t>MODAJOI-100985</t>
  </si>
  <si>
    <t>SmartPOS - Ocorreu um problema ao imprimir.</t>
  </si>
  <si>
    <t>[Alteração no código] Migrar a biblioteca e os testes unitários para suportar a nova versão do .NET da API do Fiscal.</t>
  </si>
  <si>
    <t>Migração do DOTNET causou problemas na impressão da SMART POS</t>
  </si>
  <si>
    <t>CD030-PV Produto com Imagem e Pedido Separacao
CD05-Acessar Venda Facil SmartPOS - MODAJOI-59726
CD45-Venda Facil SmartPOS com Cartao Nao TEF- MODAJOI-89119
(+2 mais)</t>
  </si>
  <si>
    <t>TA não valida impressão</t>
  </si>
  <si>
    <t>https://jira.linx.com.br/browse/MODAJOI-101842</t>
  </si>
  <si>
    <t>Re-avaliação dos Testes Unitários</t>
  </si>
  <si>
    <t>MODAJOI-101207</t>
  </si>
  <si>
    <t>Cliente relata que não é gerada uma nova fatura quando faz a baixa de faturas pelas rotinas Recebimento de Parcelas e Recebimento de Faturas informando um plano de pagamento que não seja à vista.</t>
  </si>
  <si>
    <t>Mariana Franco Fernandes</t>
  </si>
  <si>
    <t>[Alteração no código] Foi realizado o rollback das alterações feitas na MODAJOI-99668 conforme solicitado pelo time de suporte.</t>
  </si>
  <si>
    <t xml:space="preserve">O entendimento do chamado MODAJOI-99668 foi incorreto o que causou uma alteração que “quebrava” o processo levando a outro bug. </t>
  </si>
  <si>
    <t>CD10 - Validar que não é gerada nova fatura para valor já pago após recebimento parcial de parcela
CD02-Negociar Multiplas Faturas
CD09-Receber Total Fatura de Outra Empresa
(+2 mais)</t>
  </si>
  <si>
    <t>Os testes fazem o pagamento parcial mas não a conciliação</t>
  </si>
  <si>
    <t>MODAJOI-101489</t>
  </si>
  <si>
    <t>Ajustar/revisar a documentação / Consultar time responsável</t>
  </si>
  <si>
    <t>MODAJOI-100887</t>
  </si>
  <si>
    <t>Venda Fácil - Venda de Serviços de Terceiros com pagamento unificado não gera fatura.</t>
  </si>
  <si>
    <t>[Alteração no código] Nesta correção será considerado além do parâmetro, o meio utilizado para gerar a fatura do serviço. Seguros vendidos pela rotina Serviço terceiro ERP SEMPRE será considerado pagamento separado. Já no Venda fácil, será considerado o parâmetro utilizado na empresa.</t>
  </si>
  <si>
    <t>Melhoria implementada no VF (venda de seguros) – via customização, causou o bug.</t>
  </si>
  <si>
    <t>CD06-Venda de Pacote de Servicos
CD08-Venda de dois Servicos com Desconto No Item
CD10-Venda de dois Servicos com Desconto Na Venda
(+2 mais)</t>
  </si>
  <si>
    <t>Analisar os possíveis cenários para criação de TA</t>
  </si>
  <si>
    <t>MODAJOI-101185</t>
  </si>
  <si>
    <t>Venda Facil - Erro ao pesquisar item "Oops, Ocorreu um erro!"</t>
  </si>
  <si>
    <t>Não foi encontrada a causa da lentidão – foi realizado o monitoramento da rotina.</t>
  </si>
  <si>
    <t>O erro ocorreu devido a uma oscilação na camada de banco de dados. Realizamos o monitoramento de ontem até hoje, e o erro não voltou a ocorrer. Seguiremos acompanhando o portal para garantir que não haja novos incidentes. Em caso de dúvidas, estou à disposição.</t>
  </si>
  <si>
    <t xml:space="preserve">Não houve ajuste </t>
  </si>
  <si>
    <t>CD028-PV_Consumidor Final Sem Pagamento com Desconto, Cadastrando Cliente e Adicionando segundo produto por pesquisa
CD16-Venda de Produto com Acrescimo e PIX
CD01-Troca de Produtos Oticos em Duas Etapas
(+2 mais)</t>
  </si>
  <si>
    <t>MODAJOI-101011</t>
  </si>
  <si>
    <t>Timeout ao gerar SPED EFD Fiscal. ---------------------------</t>
  </si>
  <si>
    <t>SPED</t>
  </si>
  <si>
    <t>Existe um volume de dados muito grande para esse SPED, com base no inventário dele. Nós conseguimos gerar o arquivo por aqui, mas esse inventário gerou mais de 700 erros de estruturas, isso porque esse cliente tem muitos erros de custo médio negativo, por exemplo, oque não faz sentido. Isso precisa ser corrigido para que possamos gerar o SPED corretamente, e após isso ainda vai ter todas as dem...</t>
  </si>
  <si>
    <t xml:space="preserve">Lentidão na geração do Bloco H </t>
  </si>
  <si>
    <t>CD01-Validar Abertura e Geracao do SPED EFD Mes Anterior
CD02-Validar Abertura e Geracao do SPED EFD Mes Atual
CD09 - Gerar nota de devolução a partir do produto com ICMS excluído da base do PIS e COFINS
(+2 mais)</t>
  </si>
  <si>
    <t>Cliente com volume de estoque muito alto gerando problemas na geração.</t>
  </si>
  <si>
    <t>Abrir uma whishlist para melhoria do processo</t>
  </si>
  <si>
    <t>MODAJOI-101199</t>
  </si>
  <si>
    <t>Cliente está realizando envios de XML para entrar com notas fiscais de compra no Microvix, porém está retornando error: HTTP/1.1 500 Internal Server Error.</t>
  </si>
  <si>
    <t>Michelle Pereira Pontes Dalfovo</t>
  </si>
  <si>
    <t>API Integração</t>
  </si>
  <si>
    <t>[Alteração no código] Realizados ajustes para que a IntegrationApi defina as configurações necessárias corretamente, mantendo compatibilidade entre os 3 projetos na classe ApiConfig.</t>
  </si>
  <si>
    <t>Quando realizado a migração não foram realizados os devidos testes/ajustes na API de integração</t>
  </si>
  <si>
    <t>Cenário 05: Conferir autorização da API de entradas de compras
CD02-Conferir autorização da API de faturas a pagar
CD04-Validar tentativa de cadastrar vale troca com o campo Microvix-Chave inválido no headers da requisição
(+2 mais)</t>
  </si>
  <si>
    <t>Guilherme Rocha</t>
  </si>
  <si>
    <t>Rafael Flecha</t>
  </si>
  <si>
    <t>Criar Testes Unitários/TA</t>
  </si>
  <si>
    <t>MODAJOI-101378</t>
  </si>
  <si>
    <t>Cliente entrou em contato informando que ao dar entrada em uma nota retorna que não foi encontrado configuração tributária para aquela operação.</t>
  </si>
  <si>
    <t>Configuração Tributaria</t>
  </si>
  <si>
    <t>marta.ribeiro Segue as orientações da Jehniffer: "Marta Maria Masset Ribeiro, notei que este portal tem mais de uma classe fiscal para MG O fornecedor 6 está vinculado a classe fiscal 39 mas a configuração tributária que existe detalhamento está com a classe fiscal 10021 vc pode alterar a classe fiscal do fornecedor, para o outro MG que tem na lista, e validar Se eles integram essa informação, ...</t>
  </si>
  <si>
    <t>Classes tributárias duplicadas dentro do sistema do cliente. (Possivelmente integração mas sem certeza de fato).</t>
  </si>
  <si>
    <t>CD15-Validar Campos Obrigatorios Ao Cadastrar Produtos - Nova Rotina
CD06 - Gerar nota de devolução de compra com produto sem config tributaria
CD25-Venda com Produto sem Config
(+2 mais)</t>
  </si>
  <si>
    <t>Acompanhar o assunto para validar se está ocorrendo algum erro na integração ou é alguma ação manual incorreta.</t>
  </si>
  <si>
    <t>MODAJOI-100894</t>
  </si>
  <si>
    <t>ERP - Assinar documento digitalmente ==================================</t>
  </si>
  <si>
    <t>Detalhes: Após análise, verificamos que o erro está relacionado ao ERP, mas ao retorno da integração com a D4Sign. No momento da solicitação de envio do documento para assinatura, a API da D4Sign retorna 400 Bad Request com a mensagem informando que a conta possui mais créditos/limites disponíveis para envio de documentos. A assinatura digital é concluída porque a conta utilizada na integração ...</t>
  </si>
  <si>
    <t>CD01-Venda de Servico
CD12-Venda de Servico e Cancelamento
CD04-Venda de Produto e Servico com NFe e Cliente Outra UF
(+2 mais)</t>
  </si>
  <si>
    <t>Abrir uma wishlist para implementar mensagem amigável para facilitar a leitura/entendimento do erro</t>
  </si>
  <si>
    <t>MODAJOI-101292</t>
  </si>
  <si>
    <t>Erro no  relatório personalizado - ERP</t>
  </si>
  <si>
    <t>NF-e</t>
  </si>
  <si>
    <t>Detalhes: Este problema será corrigido na conclusão da demanda MODAJOI-99667</t>
  </si>
  <si>
    <t>Na verdade o bug será reclassificado para P2 ou P3 e esse problema será resolvido com refatoração (indicado na issue)</t>
  </si>
  <si>
    <t>CD08-Selecionar Novos Filtros e Colunas Personalizados Faturas a Pagar
CD13-Selecionar Novos Filtros e Colunas Personalizados
CD01-Gerar Livro Registro Entrada conferindo nota emitida
(+2 mais)</t>
  </si>
  <si>
    <t>Esse caso será tratado no MODAJOI-99967 / o interessante será recategorização da issue.</t>
  </si>
  <si>
    <t>MODAJOI-100808</t>
  </si>
  <si>
    <t>[ASICS} - Processo de certificado digital é realizado porém não finalizado.</t>
  </si>
  <si>
    <t>Detalhes: Certificado adicionado com sucesso</t>
  </si>
  <si>
    <t>Ao gravar o certificado o retorno da gravação ficava ok porém o certificado não era salvo – ausencia de tabelas</t>
  </si>
  <si>
    <t>CD023-Abertura do link certificado digital - Arquivo inválido
CD024-Abertura do link certificado digital - Arquivo .pfx e preenchendo campos de senha e email
CD07-Ativar Importacao Automatica
(+2 mais)</t>
  </si>
  <si>
    <t>Já existe whishlist para esse caso (https://jira.linx.com.br/browse/MODAJOI-100833)</t>
  </si>
  <si>
    <t>Issue Acompanhamento</t>
  </si>
  <si>
    <t>Issue Original</t>
  </si>
  <si>
    <t>Responsável</t>
  </si>
  <si>
    <t>Ação</t>
  </si>
  <si>
    <t>Status da Ação</t>
  </si>
  <si>
    <t>Data Limite</t>
  </si>
  <si>
    <t>Data Conclusão</t>
  </si>
  <si>
    <t>Observação</t>
  </si>
  <si>
    <t>https://jira.linx.com.br/browse/MODAJOI-101007</t>
  </si>
  <si>
    <t>MODAJOI-100418</t>
  </si>
  <si>
    <t>Ademir</t>
  </si>
  <si>
    <t xml:space="preserve">Criar um item para analisar a correção definitiva as Rejeições 865 e 866 </t>
  </si>
  <si>
    <t>Andamento</t>
  </si>
  <si>
    <t>https://jira.linx.com.br/browse/MODAJOI-101142</t>
  </si>
  <si>
    <t>MODAJOI-100578</t>
  </si>
  <si>
    <t>Analisar e criar TA se houver possibilidade</t>
  </si>
  <si>
    <t>Pendente 4</t>
  </si>
  <si>
    <t>MODAJOI-100461</t>
  </si>
  <si>
    <t>Deivis</t>
  </si>
  <si>
    <t>Sustentação</t>
  </si>
  <si>
    <t>Fazer uma busca para validar se a blindagem pela quantidade para a sincronização de perdeu</t>
  </si>
  <si>
    <t>Concluído</t>
  </si>
  <si>
    <t>Será aberto um bug interno para corrigir a situação.</t>
  </si>
  <si>
    <t>Pendente 5</t>
  </si>
  <si>
    <t>MODAJOI-100187</t>
  </si>
  <si>
    <t>Cobrar o fornecedor uma solução definitiva</t>
  </si>
  <si>
    <t>24/03 – Já foi cobrado e o Fornecedor informa que ainda está avaliando.</t>
  </si>
  <si>
    <t>Pendente</t>
  </si>
  <si>
    <t>MODAJOI-100652</t>
  </si>
  <si>
    <t>Altimara</t>
  </si>
  <si>
    <t>Criar Teste Automatizado</t>
  </si>
  <si>
    <t>Análise</t>
  </si>
  <si>
    <t>https://jira.linx.com.br/browse/MODAJOI-101105 e https://jira.linx.com.br/browse/MODAJOI-101106</t>
  </si>
  <si>
    <t>MODAJOI-100270</t>
  </si>
  <si>
    <t>Debora</t>
  </si>
  <si>
    <t>TA – Pesquisa de Serviços Avançada</t>
  </si>
  <si>
    <t>MODAJOI-100396</t>
  </si>
  <si>
    <t>MODAJOI-101860</t>
  </si>
  <si>
    <t>MODAJOI-100979</t>
  </si>
  <si>
    <t>Murilo</t>
  </si>
  <si>
    <t>Arquitetura</t>
  </si>
  <si>
    <t>Verificar uma maneira de, assim como trocamos de ambiente, fazer a troca para usuáriosupervisor de rede para rodar os testes (ao menos CI/CD) automatizados de forma geral</t>
  </si>
  <si>
    <t>Tarefa BD: MODAJOI-101883</t>
  </si>
  <si>
    <t>240301</t>
  </si>
  <si>
    <t>MODAJOI-100934</t>
  </si>
  <si>
    <t>Criar mais um cenário para PJ</t>
  </si>
  <si>
    <t>310305</t>
  </si>
  <si>
    <t>Nelson</t>
  </si>
  <si>
    <t>Abrir uma whishlist de melhoria</t>
  </si>
  <si>
    <t>310306</t>
  </si>
  <si>
    <t>310307</t>
  </si>
  <si>
    <t>Jenifer</t>
  </si>
  <si>
    <t>SupCrmImp</t>
  </si>
  <si>
    <t>Criar TA</t>
  </si>
  <si>
    <t>310304</t>
  </si>
  <si>
    <t>Geovane</t>
  </si>
  <si>
    <t>Analisar e criar TA para os cenários de Seguro</t>
  </si>
  <si>
    <t>CD13-Venda NF Consumidor Com Seguro Terceiro | CD14-Venda NF Consumidor Com Seguro Terceiro Pagamento Unificado</t>
  </si>
  <si>
    <t>Michele</t>
  </si>
  <si>
    <t>Revisar a Documentação / Validar os TA</t>
  </si>
  <si>
    <t>Fabio</t>
  </si>
  <si>
    <t>Criar Teste Unitário</t>
  </si>
  <si>
    <t>Jehnnifer</t>
  </si>
  <si>
    <t>Abrir uma tarefa para a Engenharia Corporativa para criar os campos no template (Causa, Correção e Impacto) para que seja preenchido antes de enviar a issue para o QA testar</t>
  </si>
  <si>
    <t>Plano de ação para mapear esse tipo de alteração e prevenir o erro</t>
  </si>
  <si>
    <t>Validar os layouts do Conciliador Bancário</t>
  </si>
  <si>
    <t>Abrir tarefa com DEVOPS para avaliar o bloqueio no review antes do PR ser aprovado</t>
  </si>
  <si>
    <t>Analise</t>
  </si>
  <si>
    <t>140403</t>
  </si>
  <si>
    <t>Marcilio</t>
  </si>
  <si>
    <t>Criar TA para validar a geração do registro E116 dentro do txt gerado no SPED</t>
  </si>
  <si>
    <t>140402</t>
  </si>
  <si>
    <t>Criar TA para validação de venda com vale-presente no VF</t>
  </si>
  <si>
    <t>140401</t>
  </si>
  <si>
    <t>Criar TA para cobrir o cenário de busca por cliente/produto</t>
  </si>
  <si>
    <t>220401</t>
  </si>
  <si>
    <t>Jehnyfer</t>
  </si>
  <si>
    <t>Ajustar a documentação do processo para melhorar não só os testes, mas para sanar dúvidas que qualquer time possa vir a ter no futuro</t>
  </si>
  <si>
    <t>Será feito o trabalho em conjunto com o time de Suprimentos</t>
  </si>
  <si>
    <t>Data Arquivamento</t>
  </si>
  <si>
    <t>MODAJOI-100597</t>
  </si>
  <si>
    <t>Erro SQL ao acessar Portal ==================================</t>
  </si>
  <si>
    <t>Erro de banco de dados causado na reativação do portal via MODAJOI-99848.</t>
  </si>
  <si>
    <t>CD02-Gerar Ticket Manual com Base Central
CD01- Pequisar Portal Multimarca
CD01-Verificar Disponibilidade de Vinculo Para Portal Rede
(+2 mais)</t>
  </si>
  <si>
    <t>MODAJOI-100761</t>
  </si>
  <si>
    <t>Venda Fácil - Envio de comprovante de troca com documento 0.</t>
  </si>
  <si>
    <t>[Alteração no código] Adiciona método para obter payload correto de envio e atualiza chamada de ação para enviar informações de troca por email</t>
  </si>
  <si>
    <t>Foi fechada incorretamente como P1.</t>
  </si>
  <si>
    <t>CD05 - Alterar Vendedor no Movimento Diário
CD02-Gerar Ticket Manual com Base Central
CD04-Conferir Vendedor, Pagamentos, Produtos, Cliente e Descontos no Movimentos Diario
(+2 mais)</t>
  </si>
  <si>
    <t>MODAJOI-100566</t>
  </si>
  <si>
    <t>Rejeição 929  CST de Diferimento sem informações - ERP</t>
  </si>
  <si>
    <t>Feito a nota pontualmente, pois a correção efetiva sairá na demanda # MODAJOI-100388</t>
  </si>
  <si>
    <t>CD005-Pre Venda Rejeicao por CST Incorreta
CD15-Devolucao de Compras com uma rejeição da nota
CD01 - Gerar nota de devolução a partir do produto com Venda CST 0.00 com cliente pessoa física do mesmo estado
(+2 mais)</t>
  </si>
  <si>
    <t>Venda Fácil - Erro Undefined ao Pesquisar o Serviços pelo Nome</t>
  </si>
  <si>
    <t>[Alteração no código] Tratamento para buscar o alias correto da tabela de produtos/serviços</t>
  </si>
  <si>
    <t>MODAJOI-99339</t>
  </si>
  <si>
    <t>CD01-Pesquisar Produto e Compartilhar Resultado</t>
  </si>
  <si>
    <t>O TA cobre somente pesquisa de produtos e nesse caso a pesquisa era de serviço</t>
  </si>
  <si>
    <t>Criar TA para erviço</t>
  </si>
  <si>
    <t>MODAJOI-99893</t>
  </si>
  <si>
    <t>Venda Fácil - TEF - Não foi possível se comunicar com o Scarf.</t>
  </si>
  <si>
    <t>Orientações passadas pelo Teams acerca do "AccessViolationException"</t>
  </si>
  <si>
    <t>Não conseguimos simular a causa do problema - Na própria loja não ocorreu mais o problema</t>
  </si>
  <si>
    <t>O TEF acaba sendo um processo com um grau de dificuldade  maior para a criação do TA</t>
  </si>
  <si>
    <t>MODAJOI-99532</t>
  </si>
  <si>
    <t>POS - Comprovante do Remessas e Retornos não Funciona</t>
  </si>
  <si>
    <t>Remessas e Retornos</t>
  </si>
  <si>
    <t>[Alteração no código] Ajuste para que o POS permite corretamente imprimir o comprovante de remessas e retornos.</t>
  </si>
  <si>
    <t>MODAJOI-99032 - Acabou impactando somente a rotina online.</t>
  </si>
  <si>
    <t>TestComplete</t>
  </si>
  <si>
    <t>Somente são realizados na publicação de nova versão do POS</t>
  </si>
  <si>
    <t>Quando alterar qualquer rotina, elencar as principais rotinas online para não cair em erros</t>
  </si>
  <si>
    <t>MODAJOI-100066</t>
  </si>
  <si>
    <t>Relatório de detalhamento de custos duplica valor de FCP -ERP</t>
  </si>
  <si>
    <t>[Alteração no código] Feito o ajuste conforme Épico MODAJOI-31323 onde é tratado para calcular o FcpStAntecipado quando houver FCPST.</t>
  </si>
  <si>
    <t>CD01-Emissao Do Relatorio Detalhamento de Custos
CD02-Emissao Do Relatorio Detalhamento de Custos - Verificar Coluna Nota Origem
CD03-Emissao Do Relatorio Detalhamento de Custos - Apenas Nota de Entrada
(+2 mais)</t>
  </si>
  <si>
    <t>MODAJOI-100251</t>
  </si>
  <si>
    <t>Venda Fácil - Não finaliza venda com campanha do CRM&amp;Bônus.</t>
  </si>
  <si>
    <t>[Alteração no código] Ajuste para que o VF finalize corretamente caso haja campanha crmBonus. O erro ocorria por uma especie de `blindagem` para evitar duplo clique e duplicidade na finalização de vendas. Que tratava essa finalização indevidamente e impedia que de fato a venda fosse concluida.</t>
  </si>
  <si>
    <t>Teria que deixar um ambiente configurado para utilizar o CRM Bonus e que o ambiente esteja 100% disponível</t>
  </si>
  <si>
    <t>Time do Ademir avaliar a possibilidade de criação de TA para essa rotina e estruturar o ambiente / Mapear quantos clientes utilizam a V1 do CRM Bonus e quantos utilizam a V2</t>
  </si>
  <si>
    <t>MODAJOI-100776</t>
  </si>
  <si>
    <t>Conciliador bancário: Erro ao desconciliar faturas e lançamentos contábeis: Execution Timeout Expired. ==================================</t>
  </si>
  <si>
    <t>The Tempo Account was changed to Nao Capitalizavel (Opex) by the Scriptrunner validation script</t>
  </si>
  <si>
    <t>CD18-Conciliar Fatura a Receber Por Sugestão
CD20-Conciliar Mais de uma Fatura a Receber Selecionando Mesmo Valor do Extrato
CD09-Conciliar Extrato a Receber Utilizando Regra para Conciliação Automática
(+2 mais)</t>
  </si>
  <si>
    <t>MODAJOI-101005</t>
  </si>
  <si>
    <t>Exportação de dados: Erro ao exportar A exportação não gerou nenhum resultado. Tente alterar os filtros ==================================</t>
  </si>
  <si>
    <t>Pedro Henrique De Matos Veronese</t>
  </si>
  <si>
    <t>Gerador de Relatórios</t>
  </si>
  <si>
    <t>Ajustado código para remover o primeiro bloco que adiciona as aspas, deixando o valor final como "".</t>
  </si>
  <si>
    <t>Esquecimento no momento de subir o commit – retirada de “</t>
  </si>
  <si>
    <t>CD02-Relatorio DRE - Validar Exportacao para Excel
CD01-Relatorio Manutencao - Alterar Disponivel Multimarca
CD03-Alterar Cor e Tamanho Portal Marca
(+2 mais)</t>
  </si>
  <si>
    <t>Letícia</t>
  </si>
  <si>
    <t>Revisar liberação de alteração</t>
  </si>
  <si>
    <t>MODAJOI-100533</t>
  </si>
  <si>
    <t>ERP - Erro ao selecionar itens para devolução de compra fácil ==================================</t>
  </si>
  <si>
    <t>[Alteração no código] Causa: A devolução está sendo gerada porque o sistema encontrou a NF-e de entrada correspondente à chave informada durante o processo de conferência. Como a nota é localizada nas fontes consultadas (XML/integrações), nenhuma referência de conferência é criada, resultando em lista vazia e impedindo a continuidade da devolução: No payload, quando enviamos o produto pra devol...</t>
  </si>
  <si>
    <t>CD01-Entrada de Recusa de Devolução de Compra
CD16 - Devolução de Compras - Devolução Parcial dos Itens.
CD17-Devolução por nota com múltiplas linhas do mesmo produto
(+2 mais)</t>
  </si>
  <si>
    <t>Oops, Ocorreu um erro! ao gerar Pré-venda com link de pagamento. ==================================</t>
  </si>
  <si>
    <t>[Alteração no código] Atualização URL</t>
  </si>
  <si>
    <t>Link do Pagar-me que não está funcionando, para a Versão V2.</t>
  </si>
  <si>
    <t>CD007-Pre Venda com Link Pagamento via Whatsapp - esse cenário estava com erro</t>
  </si>
  <si>
    <t>Detectou problema</t>
  </si>
  <si>
    <t>Nesse caso o problema foi causado por terceiros e a solução foi alterar o link de pagamento.</t>
  </si>
  <si>
    <t>Orçamento/Pedido: Falha ao recuperar os dados para geração do link de pagamento ==================================</t>
  </si>
  <si>
    <t>Como correção foi realizado um ajuste efetivo até que tenhamos um retorno da Pagar.me sobre. Demanda correção retroativa: MODAJOI-100187 Cliente passou a utilizar versão checkout v1 ao invés de V2.</t>
  </si>
  <si>
    <t>Erro na PAGAR-ME.</t>
  </si>
  <si>
    <t>CD010-Pre Venda com Link Pagamento
CD014-Agrupamento de Pré-Venda com Link de Pagamento
CD018-Pre Venda NFC-e com Link Pagamento
(+2 mais)</t>
  </si>
  <si>
    <t>Foi validado pelo QA porém para o caso em específico seria necessário voltar a versão do link de pagamento.</t>
  </si>
  <si>
    <t>Entrada XML/Entrada CTe: Apresenta erro/não carrega ao usar usuario franqueador ==================================</t>
  </si>
  <si>
    <t>Marcilio De Aguiar Meireles</t>
  </si>
  <si>
    <t>Migração AKS</t>
  </si>
  <si>
    <t>[Alteração no código] Alterado para que seja possível passar por parâmetro, de forma opcional, o id do portal. Se não passar, usa a sessão, mantendo compatibilidade.</t>
  </si>
  <si>
    <t>Erro específico, da migração AKS Fiscal, para usuário Supervisor/Administrador. No portal testado não possuía usuário Supervisor e por esse motivo o bug ocorreu.</t>
  </si>
  <si>
    <t>CD23-Importar e Finalizar com Ajuste de Fator de Conversão - Apenas produtos com unidades diferentes
CD24-Importar e Finalizar com Ajuste de Fator de Conversão - Todos os produtos da nota
CD06-Bloquear Entrada de Nota Fornecedor Nao Cadastrado
(+2 mais)</t>
  </si>
  <si>
    <t>Para usuário ADM/Supervisor não temos cenários de TA</t>
  </si>
  <si>
    <t>Testar também com usuário Supervisor/ADM de rede</t>
  </si>
  <si>
    <t>MODAJOI-100393</t>
  </si>
  <si>
    <t>Troca fácil: Não é possivel realizar devolução para o item ==================================</t>
  </si>
  <si>
    <t>[Alteração no código] Ajuste na query ao verificar a existência de devolução sem registro na tabela trocaunificada.</t>
  </si>
  <si>
    <t>CD06-Realizar uma Venda Vitrine e Alterar o Pedido
CD17-Devolução por nota com múltiplas linhas do mesmo produto
CD01-Realizar Troca e Zerar Vale Gerado
(+2 mais)</t>
  </si>
  <si>
    <t>MODAJOI-100388</t>
  </si>
  <si>
    <t>Cliente relata que ao tentar emitir vendas com CST 51, no Venda Fácil, é retornada a Rejeição 929: Informado CST de diferimento sem as informações de diferimento.</t>
  </si>
  <si>
    <t>Causa A porcentagem de redução estava zero, mas nós temos uma nota autorizada no dia 26/02/2026 do portal 14554 que possuía a tag em questão e foi autorizada, entretanto, foi possível identificar a origem da rejeição 929, mas a partir de março entendemos que ela passou a ser necessária devido as rejeições. Foram analisadas diversas NTs, mas houve alterações nas regras de validação do campo N12-...</t>
  </si>
  <si>
    <t>Aparentemente não hve causa aparente. A validação do SEFAZ mudou, sem aviso, e parou de validar a tag de redução de base de cálculo para CST de diferimento</t>
  </si>
  <si>
    <t>CD005-Pre Venda Rejeicao por CST Incorreta
CD025-Editar Salvar e Finalizar Pre-Venda com Pagamento Nao Informado e Incluindo Novos Produtos
CD026-Editar Salvar e Finalizar Pre-Venda com Pagamento Total Informado e Incluindo Novos Produtos
(+2 mais)</t>
  </si>
  <si>
    <t>Aparentemente somente alguns Estados começaram a validar essa tag no arquivo XML.</t>
  </si>
  <si>
    <t>Para esse caso em específico, por se tratar de erro do SEFAZ, para Estados Específicos, o plano de ação fica reduzido para alterações em Regras  Fiscais – mapear todos os Estados e cenários o máximo possível.</t>
  </si>
  <si>
    <t>MODAJOI-101067</t>
  </si>
  <si>
    <t>mensagem 'Ocorreu um erro inesperado, por favor contate o suporte técnico' ao tentar gerar um relatório, no exportação de dados</t>
  </si>
  <si>
    <t>Concluído.</t>
  </si>
  <si>
    <t>A correção do bug MODAJOI-101005 acabou impactando nesse caso, onde a exportação era feita utilizando a referência.</t>
  </si>
  <si>
    <t>CD02-Relatorio DRE - Validar Exportacao para Excel
CD01-Gerar_Relatorio_Apenas_Produtos_ativos
CD02-Gerar_Relatorio_Apenas_Produtos_ativos
(+2 mais)</t>
  </si>
  <si>
    <t>Como foi aberto como emergencial, esse caso não passou por QA e o teste só seria pego se fosse realizado em homologação.</t>
  </si>
  <si>
    <t>Buscar os testes antes de liberar a demanda e repassar por um QA para validar correção.</t>
  </si>
  <si>
    <t>MODAJOI-100362</t>
  </si>
  <si>
    <t>Na rotina ERP &gt; Faturamentos &gt; Exportação de Dados, ao processar a configuração “Electrolux Venda/Cancelamento de Seguros (6461)” no Linx Microvix, as exportações vêm sendo finalizadas de forma int...</t>
  </si>
  <si>
    <t>Na rotina ERP &gt; Faturamentos &gt; Exportação de Dados, ao processar a configuração “Electrolux Venda/Cancelamento de Seguros (6461)” no Linx Microvix, as exportações vêm sendo finalizadas de forma intermitente com o status “Concluído com erro”, conforme demonstrado no histórico de processamentos (ID...</t>
  </si>
  <si>
    <t>verificado que está sendo gerado normalmente, e o problema reportado foi de uma venda de seguro onde faltava subir pra nuvem o plano de pagamento de seguro, provalvemte teve uma rejeição de NFe e depois a venda foi alterada para NFCe. Feito o retroativo, caso surja um novo caso pegar o log do POS. Correção liberada na versão abaixo https://setupbr.microvix.com.br/homologacao-manualonly/LinxMicr...</t>
  </si>
  <si>
    <t>CD04-Realizar uma Venda Mista e Cancelamento do Pedido
CD05-Realizar uma Venda Vitrine e Cancelar o Pedido
CD05-Implantacao de Novo Portal - Informar Dados Bancarios
(+2 mais)</t>
  </si>
  <si>
    <t>Valor mínimo para resgate incorreto no venda fácil, comparando a configuração do fidelidade no Reshop.</t>
  </si>
  <si>
    <t>[Alteração no código] Causa Na tela de resgate por pontos, o “valor mínimo de resgate” exibido estava confundindo a regra: o sistema acabava apresentando incorretamente um valor relacionado a pontos (ou a conversão/limite) quando, na prática, existem regras distintas: - Valor mínimo da venda para permitir resgate; - Limite percentual de resgate sobre o valor da venda; - Valor mínimo (em R$) par...</t>
  </si>
  <si>
    <t>Não teve uma causa descoberta.</t>
  </si>
  <si>
    <t>Como se trata de problema visual, talvez não se aplique ao TA</t>
  </si>
  <si>
    <t>Fazer uma análise da possibilidade de criar um TA relativo a esse tipo de problema</t>
  </si>
  <si>
    <t>MODAJOI-100650</t>
  </si>
  <si>
    <t>ERP - venda não apresenta os dois seguros vendidos ==================================</t>
  </si>
  <si>
    <t>ao verificar no BD os seguros são listados: e ao conferir no relatório também esta listando.</t>
  </si>
  <si>
    <t>CD18-Venda com Destaque de IPI Com Dois Itens
CD02-Venda com Dois Itens com Cliente Pessoa Física e Troca
CD04-Faturamento Formas Pagamento Pix + Dois Cartoes Credito
(+2 mais)</t>
  </si>
  <si>
    <t>MODAJOI-100733</t>
  </si>
  <si>
    <t>Sugestão de compras - Não abre a tela para gerar o pedido =================================</t>
  </si>
  <si>
    <t>Compras 2.0</t>
  </si>
  <si>
    <t>Merge</t>
  </si>
  <si>
    <t>Verificado que o erro foi corrigido através do BUG interno MODAJOI-100676 GitCommit: https://github.com/MEDIUM-RETAIL-MICROVIX/suprimentos/commit/fa0890f5acf6c6f37638d28750db457682afad68 GitBranch: hotfix/MODAJOI-100676 GitRepository: suprimentos Liberação irá ocorrer hoje 16/03/2026 no ambiente de RC.</t>
  </si>
  <si>
    <t>Foi causado por um ajuste onde o merge acabou transportando o código de forma incorreta, por nbão gerar nenhum conflito.</t>
  </si>
  <si>
    <t>CD07-Sugestao de Compras Novo - Emitir Pedido Uma empresa
CD08-Sugestao de Compras Novo - Emitir Pedido Varias empresas - Um Pedido para Cada Empresa
CD09-Sugestao de Compras Novo - Emitir Pedido Varias empresas - Um Pedido para Todas as Empresas
(+2 mais)</t>
  </si>
  <si>
    <t>Para o TA validar a situação, ele teria que selecionar todas as colunas para que o erro ficasse visível. Seria necessário adicionar a validação dos registros listados no TA existente.</t>
  </si>
  <si>
    <t>Ter o cenário de Sugestão de Compra – ao menos um cenário prioritário – na esteira rápida para garantir que problemas assim não volte a ocorrer.</t>
  </si>
  <si>
    <t>MODAJOI-100867</t>
  </si>
  <si>
    <t>ERP - Erro ao gerar painel de movimentações WMS ==================================</t>
  </si>
  <si>
    <t>Quando iniciei a análise da issue, o problema estava ocorrendo. Ao começar fazer o teste localmente, também não estava trazendo as requisições - o que me fez desconfiar que era um problema de instabilidade do banco. Após fazer as buscas direto no banco e tentar por outros meios e ver que estava funcionando, rodei novamente o filtro na rotina diretamente no portal do cliente e a tela carregou no...</t>
  </si>
  <si>
    <t>Aparentemente instabilidade do cliente. Não houve nenhum tipo de ajuste.</t>
  </si>
  <si>
    <t>CD02-Painel de Movimentacoes WMS - Validar movimentacao que Torne o Estoque Negativo (Empresa)
CD03-Painel de Movimentacoes WMS - Validar movimentacao que Torne o Estoque Negativo (Deposito)
CD01-Acessar Painel de Movimentacoes e Pesquisar Status
(+2 mais)</t>
  </si>
  <si>
    <t>Validar os logs – seja no Elastic APPInsights para tentar rastrear a causa efetiva para esse tipo de situação. Dessa forma melhorara a análise.</t>
  </si>
  <si>
    <t>Ao abrir POS e na tela inicial, após curto tempo consta mensagem de erro:</t>
  </si>
  <si>
    <t>Realizado ajuste nos produtos, pois haviam mais de 1600 produtos definidos como catálogo. Deste modo, ocasionava travamentos dado o alto volume. Após o ajuste, o erro cessou. Trataremos o problema em sua causa raiz através de uma melhoria que será aberta.</t>
  </si>
  <si>
    <t>O cliente utilizou um número maior do que o limite permitido de sincronização de produtos</t>
  </si>
  <si>
    <t>Fazer um levantamento para validar se a blindagem para limitação de importação se perdeu</t>
  </si>
  <si>
    <t>Cliente relata que ao tentar emitir nota substitutiva é apresentada mensagem que não é permitido alterar o destinatário para CNPJ em NF-e substitutiva.</t>
  </si>
  <si>
    <t>[Alteração no código] removido bloqueio.</t>
  </si>
  <si>
    <t>Ajuste apenas em RC. Alteração d Regra fiscal impactou (somente RC). A postergação do prazo para permissão de alteração do Cliente em NFCe acabou impactando e causando o erro na nota substitutiva.</t>
  </si>
  <si>
    <t>CD24-Emissão de Nota Fiscal Cliente Diferente Estado - CFOP 5102
CD12-Validar Alteração de Fatura quando Usuário não tem Permissão de Alterar - Financeiro-Contas a Receber (Permissões Gerais)
Substitutiva Cupom Fiscal
(+2 mais)</t>
  </si>
  <si>
    <t>A Alteração de bloquear a nota de substituição foi feita sem consultar o time de Fiscal.
TA – Existe apenas para PF.</t>
  </si>
  <si>
    <t>Questões de Legislação, o melhor é consultar o time Fiscal para validar a regra de negócio.</t>
  </si>
  <si>
    <t>Venda Fácil - Rejeição 865: Total dos pagamentos menor que o total da nota, em vendas com cupom.</t>
  </si>
  <si>
    <t>[Alteração no código] Causa A validação anterior limitava o desconto considerando apenas o valor total dos produtos. Com isso, era possível concluir a venda com valor final de R$ 0,01, independentemente da quantidade de itens, pois a regra distribuía esse mínimo por item. A validação anterior veio como ajuste da MODAJOI-100016, mas as alterações surtiam efeito para o cenário do valor do cupom m...</t>
  </si>
  <si>
    <t>Problemas com arredondamento - no momento do arredondamento o sistema se perdia.</t>
  </si>
  <si>
    <t>O item do cliente é específico - ótico + cupom de desconto + pagamento parcial</t>
  </si>
  <si>
    <t>Fazer uma análise nas ultimas rejeições/bug e criar algo para blindar esse tipo de situação de arredondamento.</t>
  </si>
  <si>
    <t>Venda fácil: Não permite editar pré-venda ==================================</t>
  </si>
  <si>
    <t>[Alteração no código] Causa Após alterações da demanda originadora (MODAJOI-99809), a regra de habilitação do botão “Finalizar” na tela de pagamento da pré-venda ficou mais restritiva e, ao editar uma pré-venda existente sem informar pagamento, o botão permanecia “em marca d’água” (desabilitado), impedindo salvar/prosseguir com as alterações. Solução Ajustada a condição do método `permiteFinali...</t>
  </si>
  <si>
    <t>MODAJOI-99809 - Foi uma condição implementada para tentar blindar um outro problema - Feito Rollback</t>
  </si>
  <si>
    <t>Solicitado a criação para um no TA que faça a varredura de casos como esse.</t>
  </si>
  <si>
    <t>Iniciativa do dev para rollback e abertura de TA</t>
  </si>
  <si>
    <t>ℹ️ Issues com Analisado=Sim importadas há mais de 30 dias são movidas para esta aba automaticamente.</t>
  </si>
  <si>
    <t>QA Secundário</t>
  </si>
  <si>
    <t>Dev Secundário</t>
  </si>
  <si>
    <t>João Vitor Leone</t>
  </si>
  <si>
    <t>Mauricio Maia</t>
  </si>
  <si>
    <t>Rejeições</t>
  </si>
  <si>
    <t>Conferencia de Caixa</t>
  </si>
  <si>
    <t>Ótico</t>
  </si>
  <si>
    <t>Importadores</t>
  </si>
  <si>
    <t>Marcus</t>
  </si>
  <si>
    <t>Serviços e Painel NFse</t>
  </si>
  <si>
    <t>Venda de Seguros</t>
  </si>
  <si>
    <t>Reshop</t>
  </si>
  <si>
    <t>ℹ️ Edite o arquivo rca_config.yaml para alterar responsáveis. Re-execute generate_excel.py para atualizar.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</si>
</sst>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Calibri"/>
      <family val="2"/>
      <charset val="1"/>
    </font>
    <font>
      <b/>
      <sz val="10"/>
      <color rgb="FFFFFFFF"/>
      <name val="Cambria"/>
      <charset val="1"/>
    </font>
    <font>
      <b/>
      <u/>
      <sz val="9"/>
      <color rgb="FF0563C1"/>
      <name val="Cambria"/>
      <charset val="1"/>
    </font>
    <font>
      <sz val="9"/>
      <name val="Cambria"/>
      <charset val="1"/>
    </font>
    <font>
      <b/>
      <sz val="9"/>
      <color rgb="FF9C0006"/>
      <name val="Cambria"/>
      <charset val="1"/>
    </font>
    <font>
      <b/>
      <sz val="9"/>
      <color rgb="FF9C6500"/>
      <name val="Cambria"/>
      <charset val="1"/>
    </font>
    <font>
      <u/>
      <sz val="9"/>
      <color rgb="FF0563C1"/>
      <name val="Cambria"/>
      <charset val="1"/>
    </font>
    <font>
      <i/>
      <sz val="8"/>
      <color rgb="FF888888"/>
      <name val="Cambria"/>
      <charset val="1"/>
    </font>
  </fonts>
  <fills count="19">
    <fill>
      <patternFill patternType="none"/>
    </fill>
    <fill>
      <patternFill patternType="gray125"/>
    </fill>
    <fill>
      <patternFill patternType="solid">
        <fgColor rgb="FF1F4E79"/>
        <bgColor rgb="FF44546A"/>
      </patternFill>
    </fill>
    <fill>
      <patternFill patternType="solid">
        <fgColor rgb="FF44546A"/>
        <bgColor rgb="FF1F4E79"/>
      </patternFill>
    </fill>
    <fill>
      <patternFill patternType="solid">
        <fgColor rgb="FF375623"/>
        <bgColor rgb="FF44546A"/>
      </patternFill>
    </fill>
    <fill>
      <patternFill patternType="solid">
        <fgColor rgb="FFD6E4F0"/>
        <bgColor rgb="FFE8EAED"/>
      </patternFill>
    </fill>
    <fill>
      <patternFill patternType="solid">
        <fgColor rgb="FFFFC7CE"/>
        <bgColor rgb="FFCCCCCC"/>
      </patternFill>
    </fill>
    <fill>
      <patternFill patternType="solid">
        <fgColor rgb="FFE8EAED"/>
        <bgColor rgb="FFEBF1DE"/>
      </patternFill>
    </fill>
    <fill>
      <patternFill patternType="solid">
        <fgColor rgb="FFEBF1DE"/>
        <bgColor rgb="FFE2EFDA"/>
      </patternFill>
    </fill>
    <fill>
      <patternFill patternType="solid">
        <fgColor rgb="FFFFEB9C"/>
        <bgColor rgb="FFFFF2CC"/>
      </patternFill>
    </fill>
    <fill>
      <patternFill patternType="solid">
        <fgColor rgb="FFEFF6FF"/>
        <bgColor rgb="FFEBF3FB"/>
      </patternFill>
    </fill>
    <fill>
      <patternFill patternType="solid">
        <fgColor rgb="FF2E75B6"/>
        <bgColor rgb="FF0563C1"/>
      </patternFill>
    </fill>
    <fill>
      <patternFill patternType="solid">
        <fgColor rgb="FFFFF2CC"/>
        <bgColor rgb="FFFFF8E1"/>
      </patternFill>
    </fill>
    <fill>
      <patternFill patternType="solid">
        <fgColor rgb="FFE2EFDA"/>
        <bgColor rgb="FFEBF1DE"/>
      </patternFill>
    </fill>
    <fill>
      <patternFill patternType="solid">
        <fgColor rgb="FF7F6000"/>
        <bgColor rgb="FF9C6500"/>
      </patternFill>
    </fill>
    <fill>
      <patternFill patternType="solid">
        <fgColor rgb="FFFFF8E1"/>
        <bgColor rgb="FFFFF2CC"/>
      </patternFill>
    </fill>
    <fill>
      <patternFill patternType="solid">
        <fgColor rgb="FFEBF3FB"/>
        <bgColor rgb="FFEFF6FF"/>
      </patternFill>
    </fill>
    <fill>
      <patternFill patternType="solid">
        <fgColor rgb="FFFFFFFF"/>
        <bgColor rgb="FFEFF6FF"/>
      </patternFill>
    </fill>
    <fill>
      <patternFill patternType="solid">
        <fgColor theme="6" tint="0.79998168889431442"/>
        <bgColor indexed="64"/>
      </patternFill>
    </fill>
  </fills>
  <borders count="2">
    <border>
      <left/>
      <right/>
      <top/>
      <bottom/>
      <diagonal/>
    </border>
    <border>
      <left style="thin">
        <color rgb="FFCCCCCC"/>
      </left>
      <right style="thin">
        <color rgb="FFCCCCCC"/>
      </right>
      <top style="thin">
        <color rgb="FFCCCCCC"/>
      </top>
      <bottom style="thin">
        <color rgb="FFCCCCCC"/>
      </bottom>
      <diagonal/>
    </border>
  </borders>
  <cellStyleXfs count="1">
    <xf numFmtId="0" fontId="0" fillId="0" borderId="0"/>
  </cellStyleXfs>
  <cellXfs count="39">
    <xf numFmtId="0" fontId="0" fillId="0" borderId="0" xfId="0"/>
    <xf numFmtId="0" fontId="0" fillId="0" borderId="0" xfId="0" applyAlignment="1">
      <alignment wrapText="1"/>
    </xf>
    <xf numFmtId="0" fontId="0" fillId="0" borderId="0" xfId="0" applyAlignment="1">
      <alignment vertical="center"/>
    </xf>
    <xf numFmtId="0" fontId="1" fillId="2" borderId="1"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2" fillId="5" borderId="1" xfId="0" applyFont="1" applyFill="1" applyBorder="1" applyAlignment="1">
      <alignment vertical="center"/>
    </xf>
    <xf numFmtId="0" fontId="3" fillId="5" borderId="1" xfId="0" applyFont="1" applyFill="1" applyBorder="1" applyAlignment="1">
      <alignment vertical="center"/>
    </xf>
    <xf numFmtId="14" fontId="3" fillId="5" borderId="1" xfId="0" applyNumberFormat="1" applyFont="1" applyFill="1" applyBorder="1" applyAlignment="1">
      <alignment vertical="center"/>
    </xf>
    <xf numFmtId="1" fontId="3" fillId="5" borderId="1" xfId="0" applyNumberFormat="1" applyFont="1" applyFill="1" applyBorder="1" applyAlignment="1">
      <alignment vertical="center"/>
    </xf>
    <xf numFmtId="0" fontId="4" fillId="6" borderId="1" xfId="0" applyFont="1" applyFill="1" applyBorder="1" applyAlignment="1">
      <alignment vertical="center"/>
    </xf>
    <xf numFmtId="0" fontId="3" fillId="5" borderId="1" xfId="0" applyFont="1" applyFill="1" applyBorder="1" applyAlignment="1">
      <alignment vertical="center" wrapText="1"/>
    </xf>
    <xf numFmtId="0" fontId="3" fillId="7" borderId="1" xfId="0" applyFont="1" applyFill="1" applyBorder="1" applyAlignment="1">
      <alignment vertical="center"/>
    </xf>
    <xf numFmtId="0" fontId="3" fillId="7" borderId="1" xfId="0" applyFont="1" applyFill="1" applyBorder="1" applyAlignment="1">
      <alignment vertical="center" wrapText="1"/>
    </xf>
    <xf numFmtId="0" fontId="3" fillId="8" borderId="1" xfId="0" applyFont="1" applyFill="1" applyBorder="1" applyAlignment="1">
      <alignment vertical="center"/>
    </xf>
    <xf numFmtId="0" fontId="3" fillId="8" borderId="1" xfId="0" applyFont="1" applyFill="1" applyBorder="1" applyAlignment="1">
      <alignment vertical="center" wrapText="1"/>
    </xf>
    <xf numFmtId="0" fontId="3" fillId="8" borderId="1" xfId="0" applyFont="1" applyFill="1" applyBorder="1" applyAlignment="1">
      <alignment horizontal="center" vertical="center"/>
    </xf>
    <xf numFmtId="14" fontId="3" fillId="8" borderId="1" xfId="0" applyNumberFormat="1" applyFont="1" applyFill="1" applyBorder="1" applyAlignment="1">
      <alignment vertical="center"/>
    </xf>
    <xf numFmtId="0" fontId="5" fillId="9" borderId="1" xfId="0" applyFont="1" applyFill="1" applyBorder="1" applyAlignment="1">
      <alignment vertical="center"/>
    </xf>
    <xf numFmtId="0" fontId="3" fillId="10" borderId="1" xfId="0" applyFont="1" applyFill="1" applyBorder="1" applyAlignment="1">
      <alignment vertical="center"/>
    </xf>
    <xf numFmtId="0" fontId="1" fillId="11" borderId="1" xfId="0" applyFont="1" applyFill="1" applyBorder="1" applyAlignment="1">
      <alignment horizontal="center" vertical="center" wrapText="1"/>
    </xf>
    <xf numFmtId="0" fontId="2" fillId="0" borderId="1" xfId="0" applyFont="1" applyBorder="1" applyAlignment="1">
      <alignment vertical="center"/>
    </xf>
    <xf numFmtId="0" fontId="6" fillId="0" borderId="1" xfId="0" applyFont="1" applyBorder="1" applyAlignment="1">
      <alignment vertical="center"/>
    </xf>
    <xf numFmtId="0" fontId="3" fillId="0" borderId="1" xfId="0" applyFont="1" applyBorder="1" applyAlignment="1">
      <alignment vertical="center"/>
    </xf>
    <xf numFmtId="0" fontId="3" fillId="12" borderId="1" xfId="0" applyFont="1" applyFill="1" applyBorder="1" applyAlignment="1">
      <alignment vertical="center"/>
    </xf>
    <xf numFmtId="0" fontId="3" fillId="0" borderId="1" xfId="0" applyFont="1" applyBorder="1" applyAlignment="1">
      <alignment vertical="center" wrapText="1"/>
    </xf>
    <xf numFmtId="0" fontId="3" fillId="13" borderId="1" xfId="0" applyFont="1" applyFill="1" applyBorder="1" applyAlignment="1">
      <alignment vertical="center"/>
    </xf>
    <xf numFmtId="0" fontId="0" fillId="0" borderId="1" xfId="0" applyBorder="1"/>
    <xf numFmtId="0" fontId="1" fillId="14" borderId="1" xfId="0" applyFont="1" applyFill="1" applyBorder="1" applyAlignment="1">
      <alignment horizontal="center" vertical="center" wrapText="1"/>
    </xf>
    <xf numFmtId="0" fontId="2" fillId="15" borderId="1" xfId="0" applyFont="1" applyFill="1" applyBorder="1" applyAlignment="1">
      <alignment vertical="center"/>
    </xf>
    <xf numFmtId="0" fontId="3" fillId="15" borderId="1" xfId="0" applyFont="1" applyFill="1" applyBorder="1" applyAlignment="1">
      <alignment vertical="center"/>
    </xf>
    <xf numFmtId="14" fontId="3" fillId="15" borderId="1" xfId="0" applyNumberFormat="1" applyFont="1" applyFill="1" applyBorder="1" applyAlignment="1">
      <alignment vertical="center"/>
    </xf>
    <xf numFmtId="0" fontId="3" fillId="15" borderId="1" xfId="0" applyFont="1" applyFill="1" applyBorder="1" applyAlignment="1">
      <alignment vertical="top" wrapText="1"/>
    </xf>
    <xf numFmtId="0" fontId="3" fillId="15" borderId="1" xfId="0" applyFont="1" applyFill="1" applyBorder="1" applyAlignment="1">
      <alignment vertical="center" wrapText="1"/>
    </xf>
    <xf numFmtId="0" fontId="3" fillId="16" borderId="1" xfId="0" applyFont="1" applyFill="1" applyBorder="1" applyAlignment="1">
      <alignment vertical="center"/>
    </xf>
    <xf numFmtId="0" fontId="3" fillId="17" borderId="1" xfId="0" applyFont="1" applyFill="1" applyBorder="1" applyAlignment="1">
      <alignment vertical="center"/>
    </xf>
    <xf numFmtId="0" fontId="3" fillId="8" borderId="1" xfId="0" applyFont="1" applyFill="1" applyBorder="1" applyAlignment="1">
      <alignment horizontal="left" vertical="center" wrapText="1"/>
    </xf>
    <xf numFmtId="0" fontId="3" fillId="18" borderId="1" xfId="0" applyFont="1" applyFill="1" applyBorder="1" applyAlignment="1">
      <alignment vertical="center"/>
    </xf>
    <xf numFmtId="0" fontId="7" fillId="0" borderId="0" xfId="0" applyFont="1" applyAlignment="1"/>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2CC"/>
      <rgbColor rgb="FFFF00FF"/>
      <rgbColor rgb="FF00FFFF"/>
      <rgbColor rgb="FF9C0006"/>
      <rgbColor rgb="FF008000"/>
      <rgbColor rgb="FF000080"/>
      <rgbColor rgb="FF7F6000"/>
      <rgbColor rgb="FF800080"/>
      <rgbColor rgb="FF008080"/>
      <rgbColor rgb="FFCCCCCC"/>
      <rgbColor rgb="FF888888"/>
      <rgbColor rgb="FF9999FF"/>
      <rgbColor rgb="FF993366"/>
      <rgbColor rgb="FFFFF8E1"/>
      <rgbColor rgb="FFEBF3FB"/>
      <rgbColor rgb="FF660066"/>
      <rgbColor rgb="FFFF8080"/>
      <rgbColor rgb="FF0563C1"/>
      <rgbColor rgb="FFD6E4F0"/>
      <rgbColor rgb="FF000080"/>
      <rgbColor rgb="FFFF00FF"/>
      <rgbColor rgb="FFFFFF00"/>
      <rgbColor rgb="FF00FFFF"/>
      <rgbColor rgb="FF800080"/>
      <rgbColor rgb="FF800000"/>
      <rgbColor rgb="FF008080"/>
      <rgbColor rgb="FF0000FF"/>
      <rgbColor rgb="FF00CCFF"/>
      <rgbColor rgb="FFEFF6FF"/>
      <rgbColor rgb="FFE2EFDA"/>
      <rgbColor rgb="FFFFEB9C"/>
      <rgbColor rgb="FFE8EAED"/>
      <rgbColor rgb="FFEBF1DE"/>
      <rgbColor rgb="FFCC99FF"/>
      <rgbColor rgb="FFFFC7CE"/>
      <rgbColor rgb="FF2E75B6"/>
      <rgbColor rgb="FF33CCCC"/>
      <rgbColor rgb="FF99CC00"/>
      <rgbColor rgb="FFFFCC00"/>
      <rgbColor rgb="FFFF9900"/>
      <rgbColor rgb="FFFF6600"/>
      <rgbColor rgb="FF44546A"/>
      <rgbColor rgb="FF969696"/>
      <rgbColor rgb="FF003366"/>
      <rgbColor rgb="FF339966"/>
      <rgbColor rgb="FF003300"/>
      <rgbColor rgb="FF333300"/>
      <rgbColor rgb="FF9C6500"/>
      <rgbColor rgb="FF993366"/>
      <rgbColor rgb="FF1F4E79"/>
      <rgbColor rgb="FF37562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elaDados" displayName="TabelaDados" ref="A1:AB36" totalsRowShown="0">
  <autoFilter ref="A1:AB36" xr:uid="{00000000-0009-0000-0100-000003000000}">
    <filterColumn colId="27">
      <filters>
        <dateGroupItem year="2026" month="4" day="20" dateTimeGrouping="day"/>
      </filters>
    </filterColumn>
  </autoFilter>
  <tableColumns count="28">
    <tableColumn id="1" xr3:uid="{00000000-0010-0000-0000-000001000000}" name="Key"/>
    <tableColumn id="2" xr3:uid="{00000000-0010-0000-0000-000002000000}" name="Resumo"/>
    <tableColumn id="3" xr3:uid="{00000000-0010-0000-0000-000003000000}" name="Status Jira"/>
    <tableColumn id="4" xr3:uid="{00000000-0010-0000-0000-000004000000}" name="Prioridade"/>
    <tableColumn id="5" xr3:uid="{00000000-0010-0000-0000-000005000000}" name="Data Criação"/>
    <tableColumn id="6" xr3:uid="{00000000-0010-0000-0000-000006000000}" name="Data Resolução"/>
    <tableColumn id="7" xr3:uid="{00000000-0010-0000-0000-000007000000}" name="Dias p/ Resolver"/>
    <tableColumn id="8" xr3:uid="{00000000-0010-0000-0000-000008000000}" name="DeV Responsável pelo Bug"/>
    <tableColumn id="9" xr3:uid="{00000000-0010-0000-0000-000009000000}" name="QA Responsável pelo Bug"/>
    <tableColumn id="10" xr3:uid="{00000000-0010-0000-0000-00000A000000}" name="Qtd Vínculos"/>
    <tableColumn id="11" xr3:uid="{00000000-0010-0000-0000-00000B000000}" name="Causa Raiz"/>
    <tableColumn id="12" xr3:uid="{00000000-0010-0000-0000-00000C000000}" name="Time"/>
    <tableColumn id="13" xr3:uid="{00000000-0010-0000-0000-00000D000000}" name="Área"/>
    <tableColumn id="14" xr3:uid="{00000000-0010-0000-0000-00000E000000}" name="Tipo Erro (Auto)"/>
    <tableColumn id="15" xr3:uid="{00000000-0010-0000-0000-00000F000000}" name="Ação Realizada no Bug"/>
    <tableColumn id="16" xr3:uid="{00000000-0010-0000-0000-000010000000}" name="Análise da Causa"/>
    <tableColumn id="17" xr3:uid="{00000000-0010-0000-0000-000011000000}" name="Tipo de Ajuste"/>
    <tableColumn id="18" xr3:uid="{00000000-0010-0000-0000-000012000000}" name="Possui TA"/>
    <tableColumn id="19" xr3:uid="{00000000-0010-0000-0000-000013000000}" name="Arquivo TA"/>
    <tableColumn id="20" xr3:uid="{00000000-0010-0000-0000-000014000000}" name="Resultado da Automação"/>
    <tableColumn id="21" xr3:uid="{00000000-0010-0000-0000-000015000000}" name="Contexto"/>
    <tableColumn id="22" xr3:uid="{00000000-0010-0000-0000-000016000000}" name="Problema Resolvido?"/>
    <tableColumn id="23" xr3:uid="{00000000-0010-0000-0000-000017000000}" name="QA Principal"/>
    <tableColumn id="24" xr3:uid="{00000000-0010-0000-0000-000018000000}" name="Dev Principal"/>
    <tableColumn id="25" xr3:uid="{00000000-0010-0000-0000-000019000000}" name="Issue de Acompanhamento"/>
    <tableColumn id="26" xr3:uid="{00000000-0010-0000-0000-00001A000000}" name="Plano Ação/Lição Aprendida"/>
    <tableColumn id="27" xr3:uid="{00000000-0010-0000-0000-00001B000000}" name="Analisado"/>
    <tableColumn id="28" xr3:uid="{00000000-0010-0000-0000-00001C000000}" name="Data Filtragem"/>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elaAcompanhamento" displayName="TabelaAcompanhamento" ref="A1:I24" totalsRowShown="0">
  <autoFilter ref="A1:I24" xr:uid="{00000000-0009-0000-0100-000001000000}">
    <filterColumn colId="5">
      <filters>
        <filter val="Analise"/>
        <filter val="Análise"/>
        <filter val="Andamento"/>
      </filters>
    </filterColumn>
  </autoFilter>
  <tableColumns count="9">
    <tableColumn id="1" xr3:uid="{00000000-0010-0000-0100-000001000000}" name="Issue Acompanhamento"/>
    <tableColumn id="2" xr3:uid="{00000000-0010-0000-0100-000002000000}" name="Issue Original"/>
    <tableColumn id="3" xr3:uid="{00000000-0010-0000-0100-000003000000}" name="Responsável"/>
    <tableColumn id="4" xr3:uid="{00000000-0010-0000-0100-000004000000}" name="Área"/>
    <tableColumn id="5" xr3:uid="{00000000-0010-0000-0100-000005000000}" name="Ação"/>
    <tableColumn id="6" xr3:uid="{00000000-0010-0000-0100-000006000000}" name="Status da Ação"/>
    <tableColumn id="7" xr3:uid="{00000000-0010-0000-0100-000007000000}" name="Data Limite"/>
    <tableColumn id="8" xr3:uid="{00000000-0010-0000-0100-000008000000}" name="Data Conclusão"/>
    <tableColumn id="9" xr3:uid="{00000000-0010-0000-0100-000009000000}" name="Observação"/>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elaArquivo" displayName="TabelaArquivo" ref="A1:AA27" totalsRowShown="0">
  <autoFilter ref="A1:AA27" xr:uid="{00000000-0009-0000-0100-000002000000}"/>
  <tableColumns count="27">
    <tableColumn id="1" xr3:uid="{00000000-0010-0000-0200-000001000000}" name="Key"/>
    <tableColumn id="2" xr3:uid="{00000000-0010-0000-0200-000002000000}" name="Resumo"/>
    <tableColumn id="3" xr3:uid="{00000000-0010-0000-0200-000003000000}" name="Status Jira"/>
    <tableColumn id="4" xr3:uid="{00000000-0010-0000-0200-000004000000}" name="Prioridade"/>
    <tableColumn id="5" xr3:uid="{00000000-0010-0000-0200-000005000000}" name="Data Criação"/>
    <tableColumn id="6" xr3:uid="{00000000-0010-0000-0200-000006000000}" name="Data Resolução"/>
    <tableColumn id="7" xr3:uid="{00000000-0010-0000-0200-000007000000}" name="Dias p/ Resolver"/>
    <tableColumn id="8" xr3:uid="{00000000-0010-0000-0200-000008000000}" name="DeV Responsável pelo Bug"/>
    <tableColumn id="9" xr3:uid="{00000000-0010-0000-0200-000009000000}" name="QA Responsável pelo Bug"/>
    <tableColumn id="10" xr3:uid="{00000000-0010-0000-0200-00000A000000}" name="Qtd Vínculos"/>
    <tableColumn id="11" xr3:uid="{00000000-0010-0000-0200-00000B000000}" name="Causa Raiz"/>
    <tableColumn id="12" xr3:uid="{00000000-0010-0000-0200-00000C000000}" name="Time"/>
    <tableColumn id="13" xr3:uid="{00000000-0010-0000-0200-00000D000000}" name="Área"/>
    <tableColumn id="14" xr3:uid="{00000000-0010-0000-0200-00000E000000}" name="Tipo Erro (Auto)"/>
    <tableColumn id="15" xr3:uid="{00000000-0010-0000-0200-00000F000000}" name="Ação Realizada no Bug"/>
    <tableColumn id="16" xr3:uid="{00000000-0010-0000-0200-000010000000}" name="Análise da Causa"/>
    <tableColumn id="17" xr3:uid="{00000000-0010-0000-0200-000011000000}" name="Tipo de Ajuste"/>
    <tableColumn id="18" xr3:uid="{00000000-0010-0000-0200-000012000000}" name="Possui TA"/>
    <tableColumn id="19" xr3:uid="{00000000-0010-0000-0200-000013000000}" name="Arquivo TA"/>
    <tableColumn id="20" xr3:uid="{00000000-0010-0000-0200-000014000000}" name="Resultado da Automação"/>
    <tableColumn id="21" xr3:uid="{00000000-0010-0000-0200-000015000000}" name="Contexto"/>
    <tableColumn id="22" xr3:uid="{00000000-0010-0000-0200-000016000000}" name="Problema Resolvido?"/>
    <tableColumn id="23" xr3:uid="{00000000-0010-0000-0200-000017000000}" name="QA Principal"/>
    <tableColumn id="24" xr3:uid="{00000000-0010-0000-0200-000018000000}" name="Dev Principal"/>
    <tableColumn id="25" xr3:uid="{00000000-0010-0000-0200-000019000000}" name="Issue de Acompanhamento"/>
    <tableColumn id="26" xr3:uid="{00000000-0010-0000-0200-00001A000000}" name="Plano Ação/Lição Aprendida"/>
    <tableColumn id="27" xr3:uid="{00000000-0010-0000-0200-00001B000000}" name="Data Arquivamento"/>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elaResponsaveis" displayName="TabelaResponsaveis" ref="A1:F23" totalsRowShown="0">
  <autoFilter ref="A1:F23" xr:uid="{00000000-0009-0000-0100-000004000000}"/>
  <tableColumns count="6">
    <tableColumn id="1" xr3:uid="{00000000-0010-0000-0300-000001000000}" name="Time"/>
    <tableColumn id="2" xr3:uid="{00000000-0010-0000-0300-000002000000}" name="Área"/>
    <tableColumn id="3" xr3:uid="{00000000-0010-0000-0300-000003000000}" name="QA Principal"/>
    <tableColumn id="4" xr3:uid="{00000000-0010-0000-0300-000004000000}" name="QA Secundário"/>
    <tableColumn id="5" xr3:uid="{00000000-0010-0000-0300-000005000000}" name="Dev Principal"/>
    <tableColumn id="6" xr3:uid="{00000000-0010-0000-0300-000006000000}" name="Dev Secundário"/>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jira.linx.com.br/browse/MODAJOI-101670" TargetMode="External"/><Relationship Id="rId13" Type="http://schemas.openxmlformats.org/officeDocument/2006/relationships/hyperlink" Target="https://jira.linx.com.br/browse/MODAJOI-101685" TargetMode="External"/><Relationship Id="rId18" Type="http://schemas.openxmlformats.org/officeDocument/2006/relationships/hyperlink" Target="https://jira.linx.com.br/browse/MODAJOI-101514" TargetMode="External"/><Relationship Id="rId3" Type="http://schemas.openxmlformats.org/officeDocument/2006/relationships/hyperlink" Target="https://jira.linx.com.br/browse/MODAJOI-102114" TargetMode="External"/><Relationship Id="rId21" Type="http://schemas.openxmlformats.org/officeDocument/2006/relationships/table" Target="../tables/table1.xml"/><Relationship Id="rId7" Type="http://schemas.openxmlformats.org/officeDocument/2006/relationships/hyperlink" Target="https://jira.linx.com.br/browse/MODAJOI-102173" TargetMode="External"/><Relationship Id="rId12" Type="http://schemas.openxmlformats.org/officeDocument/2006/relationships/hyperlink" Target="https://jira.linx.com.br/browse/MODAJOI-101774" TargetMode="External"/><Relationship Id="rId17" Type="http://schemas.openxmlformats.org/officeDocument/2006/relationships/hyperlink" Target="https://jira.linx.com.br/browse/MODAJOI-101577" TargetMode="External"/><Relationship Id="rId2" Type="http://schemas.openxmlformats.org/officeDocument/2006/relationships/hyperlink" Target="https://jira.linx.com.br/browse/MODAJOI-101627" TargetMode="External"/><Relationship Id="rId16" Type="http://schemas.openxmlformats.org/officeDocument/2006/relationships/hyperlink" Target="https://jira.linx.com.br/browse/MODAJOI-101424" TargetMode="External"/><Relationship Id="rId20" Type="http://schemas.openxmlformats.org/officeDocument/2006/relationships/hyperlink" Target="https://jira.linx.com.br/browse/MODAJOI-101647" TargetMode="External"/><Relationship Id="rId1" Type="http://schemas.openxmlformats.org/officeDocument/2006/relationships/hyperlink" Target="https://jira.linx.com.br/browse/MODAJOI-102168" TargetMode="External"/><Relationship Id="rId6" Type="http://schemas.openxmlformats.org/officeDocument/2006/relationships/hyperlink" Target="https://jira.linx.com.br/browse/MODAJOI-102156" TargetMode="External"/><Relationship Id="rId11" Type="http://schemas.openxmlformats.org/officeDocument/2006/relationships/hyperlink" Target="https://jira.linx.com.br/browse/MODAJOI-102019" TargetMode="External"/><Relationship Id="rId5" Type="http://schemas.openxmlformats.org/officeDocument/2006/relationships/hyperlink" Target="https://jira.linx.com.br/browse/MODAJOI-101740" TargetMode="External"/><Relationship Id="rId15" Type="http://schemas.openxmlformats.org/officeDocument/2006/relationships/hyperlink" Target="https://jira.linx.com.br/browse/MODAJOI-101379" TargetMode="External"/><Relationship Id="rId10" Type="http://schemas.openxmlformats.org/officeDocument/2006/relationships/hyperlink" Target="https://jira.linx.com.br/browse/MODAJOI-102138" TargetMode="External"/><Relationship Id="rId19" Type="http://schemas.openxmlformats.org/officeDocument/2006/relationships/hyperlink" Target="https://jira.linx.com.br/browse/MODAJOI-101575" TargetMode="External"/><Relationship Id="rId4" Type="http://schemas.openxmlformats.org/officeDocument/2006/relationships/hyperlink" Target="https://jira.linx.com.br/browse/MODAJOI-101932" TargetMode="External"/><Relationship Id="rId9" Type="http://schemas.openxmlformats.org/officeDocument/2006/relationships/hyperlink" Target="https://jira.linx.com.br/browse/MODAJOI-101020" TargetMode="External"/><Relationship Id="rId14" Type="http://schemas.openxmlformats.org/officeDocument/2006/relationships/hyperlink" Target="https://jira.linx.com.br/browse/MODAJOI-101523"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jira.linx.com.br/browse/MODAJOI-101647" TargetMode="External"/><Relationship Id="rId7" Type="http://schemas.openxmlformats.org/officeDocument/2006/relationships/table" Target="../tables/table2.xml"/><Relationship Id="rId2" Type="http://schemas.openxmlformats.org/officeDocument/2006/relationships/hyperlink" Target="https://jira.linx.com.br/browse/MODAJOI-101685" TargetMode="External"/><Relationship Id="rId1" Type="http://schemas.openxmlformats.org/officeDocument/2006/relationships/hyperlink" Target="https://jira.linx.com.br/browse/MODAJOI-101106" TargetMode="External"/><Relationship Id="rId6" Type="http://schemas.openxmlformats.org/officeDocument/2006/relationships/hyperlink" Target="https://jira.linx.com.br/browse/MODAJOI-101670" TargetMode="External"/><Relationship Id="rId5" Type="http://schemas.openxmlformats.org/officeDocument/2006/relationships/hyperlink" Target="https://jira.linx.com.br/browse/MODAJOI-101424" TargetMode="External"/><Relationship Id="rId4" Type="http://schemas.openxmlformats.org/officeDocument/2006/relationships/hyperlink" Target="https://jira.linx.com.br/browse/MODAJOI-101514"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B36"/>
  <sheetViews>
    <sheetView zoomScaleNormal="100" workbookViewId="0">
      <pane xSplit="1" ySplit="1" topLeftCell="S2" activePane="bottomRight" state="frozen"/>
      <selection pane="bottomRight" activeCell="P7" sqref="P7"/>
      <selection pane="bottomLeft" activeCell="A2" sqref="A2"/>
      <selection pane="topRight" activeCell="B1" sqref="B1"/>
    </sheetView>
  </sheetViews>
  <sheetFormatPr defaultColWidth="8.5703125" defaultRowHeight="15"/>
  <cols>
    <col min="1" max="1" width="14" customWidth="1"/>
    <col min="2" max="2" width="52" customWidth="1"/>
    <col min="3" max="3" width="15" customWidth="1"/>
    <col min="4" max="4" width="13" customWidth="1"/>
    <col min="5" max="7" width="14" customWidth="1"/>
    <col min="8" max="9" width="20" customWidth="1"/>
    <col min="10" max="10" width="13" customWidth="1"/>
    <col min="11" max="11" width="40" style="1" customWidth="1"/>
    <col min="12" max="12" width="16" customWidth="1"/>
    <col min="13" max="14" width="18" customWidth="1"/>
    <col min="15" max="15" width="50" style="2" customWidth="1"/>
    <col min="16" max="16" width="40" customWidth="1"/>
    <col min="17" max="17" width="22" customWidth="1"/>
    <col min="18" max="18" width="14" customWidth="1"/>
    <col min="19" max="19" width="35" style="1" customWidth="1"/>
    <col min="20" max="20" width="20" customWidth="1"/>
    <col min="21" max="21" width="40" style="1" customWidth="1"/>
    <col min="22" max="25" width="18" customWidth="1"/>
    <col min="26" max="26" width="32" customWidth="1"/>
    <col min="27" max="28" width="14" customWidth="1"/>
  </cols>
  <sheetData>
    <row r="1" spans="1:28" ht="36" customHeight="1">
      <c r="A1" s="3" t="s">
        <v>0</v>
      </c>
      <c r="B1" s="3" t="s">
        <v>1</v>
      </c>
      <c r="C1" s="3" t="s">
        <v>2</v>
      </c>
      <c r="D1" s="3" t="s">
        <v>3</v>
      </c>
      <c r="E1" s="3" t="s">
        <v>4</v>
      </c>
      <c r="F1" s="3" t="s">
        <v>5</v>
      </c>
      <c r="G1" s="3" t="s">
        <v>6</v>
      </c>
      <c r="H1" s="3" t="s">
        <v>7</v>
      </c>
      <c r="I1" s="3" t="s">
        <v>8</v>
      </c>
      <c r="J1" s="3" t="s">
        <v>9</v>
      </c>
      <c r="K1" s="3" t="s">
        <v>10</v>
      </c>
      <c r="L1" s="4" t="s">
        <v>11</v>
      </c>
      <c r="M1" s="4" t="s">
        <v>12</v>
      </c>
      <c r="N1" s="4" t="s">
        <v>13</v>
      </c>
      <c r="O1" s="4" t="s">
        <v>14</v>
      </c>
      <c r="P1" s="5" t="s">
        <v>15</v>
      </c>
      <c r="Q1" s="5" t="s">
        <v>16</v>
      </c>
      <c r="R1" s="5" t="s">
        <v>17</v>
      </c>
      <c r="S1" s="5" t="s">
        <v>18</v>
      </c>
      <c r="T1" s="5" t="s">
        <v>19</v>
      </c>
      <c r="U1" s="5" t="s">
        <v>20</v>
      </c>
      <c r="V1" s="5" t="s">
        <v>21</v>
      </c>
      <c r="W1" s="5" t="s">
        <v>22</v>
      </c>
      <c r="X1" s="5" t="s">
        <v>23</v>
      </c>
      <c r="Y1" s="5" t="s">
        <v>24</v>
      </c>
      <c r="Z1" s="5" t="s">
        <v>25</v>
      </c>
      <c r="AA1" s="5" t="s">
        <v>26</v>
      </c>
      <c r="AB1" s="5" t="s">
        <v>27</v>
      </c>
    </row>
    <row r="2" spans="1:28" ht="84" hidden="1">
      <c r="A2" s="6" t="s">
        <v>28</v>
      </c>
      <c r="B2" s="7" t="s">
        <v>29</v>
      </c>
      <c r="C2" s="7" t="s">
        <v>30</v>
      </c>
      <c r="D2" s="7" t="s">
        <v>31</v>
      </c>
      <c r="E2" s="8">
        <v>46129.454363425903</v>
      </c>
      <c r="F2" s="8">
        <v>46136.470960648199</v>
      </c>
      <c r="G2" s="9">
        <f>IF(OR(E2="",F2=""),"",INT(F2-E2))</f>
        <v>7</v>
      </c>
      <c r="H2" s="7" t="s">
        <v>32</v>
      </c>
      <c r="I2" s="7" t="s">
        <v>33</v>
      </c>
      <c r="J2" s="10">
        <v>87</v>
      </c>
      <c r="K2" s="11" t="s">
        <v>34</v>
      </c>
      <c r="L2" s="12" t="s">
        <v>35</v>
      </c>
      <c r="M2" s="12" t="s">
        <v>36</v>
      </c>
      <c r="N2" s="12" t="s">
        <v>37</v>
      </c>
      <c r="O2" s="13" t="s">
        <v>38</v>
      </c>
      <c r="P2" s="15" t="s">
        <v>39</v>
      </c>
      <c r="Q2" s="14" t="s">
        <v>40</v>
      </c>
      <c r="R2" s="14" t="s">
        <v>41</v>
      </c>
      <c r="S2" s="15"/>
      <c r="T2" s="14" t="s">
        <v>42</v>
      </c>
      <c r="U2" s="15" t="s">
        <v>43</v>
      </c>
      <c r="V2" s="14" t="s">
        <v>44</v>
      </c>
      <c r="W2" s="14" t="s">
        <v>45</v>
      </c>
      <c r="X2" s="14" t="s">
        <v>46</v>
      </c>
      <c r="Y2" s="14"/>
      <c r="Z2" s="15" t="s">
        <v>47</v>
      </c>
      <c r="AA2" s="16" t="s">
        <v>44</v>
      </c>
      <c r="AB2" s="17">
        <v>46139</v>
      </c>
    </row>
    <row r="3" spans="1:28" ht="72" hidden="1">
      <c r="A3" s="6" t="s">
        <v>48</v>
      </c>
      <c r="B3" s="7" t="s">
        <v>49</v>
      </c>
      <c r="C3" s="7" t="s">
        <v>30</v>
      </c>
      <c r="D3" s="7" t="s">
        <v>31</v>
      </c>
      <c r="E3" s="8">
        <v>46115.531134259298</v>
      </c>
      <c r="F3" s="8">
        <v>46135.717708333301</v>
      </c>
      <c r="G3" s="9">
        <f>IF(OR(E3="",F3=""),"",INT(F3-E3))</f>
        <v>20</v>
      </c>
      <c r="H3" s="7" t="s">
        <v>50</v>
      </c>
      <c r="I3" s="7" t="s">
        <v>51</v>
      </c>
      <c r="J3" s="10">
        <v>6</v>
      </c>
      <c r="K3" s="11" t="s">
        <v>49</v>
      </c>
      <c r="L3" s="12" t="s">
        <v>35</v>
      </c>
      <c r="M3" s="12" t="s">
        <v>36</v>
      </c>
      <c r="N3" s="12" t="s">
        <v>52</v>
      </c>
      <c r="O3" s="13" t="s">
        <v>53</v>
      </c>
      <c r="P3" s="15" t="s">
        <v>54</v>
      </c>
      <c r="Q3" s="14" t="s">
        <v>55</v>
      </c>
      <c r="R3" s="14" t="s">
        <v>41</v>
      </c>
      <c r="S3" s="15"/>
      <c r="T3" s="14" t="s">
        <v>42</v>
      </c>
      <c r="U3" s="15" t="s">
        <v>56</v>
      </c>
      <c r="V3" s="14" t="s">
        <v>44</v>
      </c>
      <c r="W3" s="14" t="s">
        <v>45</v>
      </c>
      <c r="X3" s="14" t="s">
        <v>46</v>
      </c>
      <c r="Y3" s="14"/>
      <c r="Z3" s="14"/>
      <c r="AA3" s="16" t="s">
        <v>44</v>
      </c>
      <c r="AB3" s="17">
        <v>46139</v>
      </c>
    </row>
    <row r="4" spans="1:28" ht="39.75" hidden="1" customHeight="1">
      <c r="A4" s="6" t="s">
        <v>57</v>
      </c>
      <c r="B4" s="7" t="s">
        <v>58</v>
      </c>
      <c r="C4" s="7" t="s">
        <v>30</v>
      </c>
      <c r="D4" s="7" t="s">
        <v>59</v>
      </c>
      <c r="E4" s="8">
        <v>46127.694930555597</v>
      </c>
      <c r="F4" s="8">
        <v>46132.730428240699</v>
      </c>
      <c r="G4" s="9">
        <f>IF(OR(E4="",F4=""),"",INT(F4-E4))</f>
        <v>5</v>
      </c>
      <c r="H4" s="7" t="s">
        <v>60</v>
      </c>
      <c r="I4" s="7" t="s">
        <v>61</v>
      </c>
      <c r="J4" s="18">
        <v>4</v>
      </c>
      <c r="K4" s="11" t="s">
        <v>58</v>
      </c>
      <c r="L4" s="12" t="s">
        <v>62</v>
      </c>
      <c r="M4" s="12" t="s">
        <v>63</v>
      </c>
      <c r="N4" s="12" t="s">
        <v>64</v>
      </c>
      <c r="O4" s="13" t="s">
        <v>65</v>
      </c>
      <c r="P4" s="15" t="s">
        <v>66</v>
      </c>
      <c r="Q4" s="14" t="s">
        <v>55</v>
      </c>
      <c r="R4" s="14" t="s">
        <v>44</v>
      </c>
      <c r="S4" s="15" t="s">
        <v>67</v>
      </c>
      <c r="T4" s="14" t="s">
        <v>42</v>
      </c>
      <c r="U4" s="15" t="s">
        <v>68</v>
      </c>
      <c r="V4" s="14" t="s">
        <v>44</v>
      </c>
      <c r="W4" s="14" t="s">
        <v>61</v>
      </c>
      <c r="X4" s="14" t="s">
        <v>60</v>
      </c>
      <c r="Y4" s="14"/>
      <c r="Z4" s="14" t="s">
        <v>69</v>
      </c>
      <c r="AA4" s="16" t="s">
        <v>44</v>
      </c>
      <c r="AB4" s="17">
        <v>46139</v>
      </c>
    </row>
    <row r="5" spans="1:28" ht="84" hidden="1">
      <c r="A5" s="6" t="s">
        <v>70</v>
      </c>
      <c r="B5" s="7" t="s">
        <v>71</v>
      </c>
      <c r="C5" s="7" t="s">
        <v>30</v>
      </c>
      <c r="D5" s="7" t="s">
        <v>59</v>
      </c>
      <c r="E5" s="8">
        <v>46124.710763888899</v>
      </c>
      <c r="F5" s="8">
        <v>46135.423726851899</v>
      </c>
      <c r="G5" s="9">
        <f>IF(OR(E5="",F5=""),"",INT(F5-E5))</f>
        <v>10</v>
      </c>
      <c r="H5" s="7" t="s">
        <v>33</v>
      </c>
      <c r="I5" s="7" t="s">
        <v>51</v>
      </c>
      <c r="J5" s="7">
        <v>2</v>
      </c>
      <c r="K5" s="11" t="s">
        <v>71</v>
      </c>
      <c r="L5" s="12" t="s">
        <v>35</v>
      </c>
      <c r="M5" s="12" t="s">
        <v>36</v>
      </c>
      <c r="N5" s="12" t="s">
        <v>72</v>
      </c>
      <c r="O5" s="13" t="s">
        <v>73</v>
      </c>
      <c r="P5" s="36" t="s">
        <v>74</v>
      </c>
      <c r="Q5" s="14" t="s">
        <v>55</v>
      </c>
      <c r="R5" s="14" t="s">
        <v>44</v>
      </c>
      <c r="S5" s="15" t="s">
        <v>75</v>
      </c>
      <c r="T5" s="14" t="s">
        <v>42</v>
      </c>
      <c r="U5" s="15" t="s">
        <v>76</v>
      </c>
      <c r="V5" s="14" t="s">
        <v>44</v>
      </c>
      <c r="W5" s="14" t="s">
        <v>45</v>
      </c>
      <c r="X5" s="14" t="s">
        <v>46</v>
      </c>
      <c r="Y5" s="14"/>
      <c r="Z5" s="15" t="s">
        <v>77</v>
      </c>
      <c r="AA5" s="16" t="s">
        <v>44</v>
      </c>
      <c r="AB5" s="17">
        <v>46139</v>
      </c>
    </row>
    <row r="6" spans="1:28" ht="39.75" hidden="1" customHeight="1">
      <c r="A6" s="6" t="s">
        <v>78</v>
      </c>
      <c r="B6" s="7" t="s">
        <v>79</v>
      </c>
      <c r="C6" s="7" t="s">
        <v>30</v>
      </c>
      <c r="D6" s="7" t="s">
        <v>59</v>
      </c>
      <c r="E6" s="8">
        <v>46119.695393518501</v>
      </c>
      <c r="F6" s="8">
        <v>46135.626099537003</v>
      </c>
      <c r="G6" s="9">
        <f>IF(OR(E6="",F6=""),"",INT(F6-E6))</f>
        <v>15</v>
      </c>
      <c r="H6" s="7" t="s">
        <v>80</v>
      </c>
      <c r="I6" s="7" t="s">
        <v>81</v>
      </c>
      <c r="J6" s="7">
        <v>2</v>
      </c>
      <c r="K6" s="11" t="s">
        <v>79</v>
      </c>
      <c r="L6" s="12" t="s">
        <v>35</v>
      </c>
      <c r="M6" s="12" t="s">
        <v>82</v>
      </c>
      <c r="N6" s="12" t="s">
        <v>64</v>
      </c>
      <c r="O6" s="13" t="s">
        <v>83</v>
      </c>
      <c r="P6" s="15" t="s">
        <v>84</v>
      </c>
      <c r="Q6" s="14" t="s">
        <v>55</v>
      </c>
      <c r="R6" s="14" t="s">
        <v>44</v>
      </c>
      <c r="S6" s="15" t="s">
        <v>85</v>
      </c>
      <c r="T6" s="14" t="s">
        <v>42</v>
      </c>
      <c r="U6" s="15" t="s">
        <v>86</v>
      </c>
      <c r="V6" s="14" t="s">
        <v>44</v>
      </c>
      <c r="W6" s="14" t="s">
        <v>45</v>
      </c>
      <c r="X6" s="14" t="s">
        <v>87</v>
      </c>
      <c r="Y6" s="14"/>
      <c r="Z6" s="14"/>
      <c r="AA6" s="16" t="s">
        <v>44</v>
      </c>
      <c r="AB6" s="17">
        <v>46139</v>
      </c>
    </row>
    <row r="7" spans="1:28" ht="96.75" hidden="1">
      <c r="A7" s="6" t="s">
        <v>88</v>
      </c>
      <c r="B7" s="7" t="s">
        <v>89</v>
      </c>
      <c r="C7" s="7" t="s">
        <v>30</v>
      </c>
      <c r="D7" s="7" t="s">
        <v>59</v>
      </c>
      <c r="E7" s="8">
        <v>46128.715046296304</v>
      </c>
      <c r="F7" s="8">
        <v>46139.329143518502</v>
      </c>
      <c r="G7" s="9">
        <f>IF(OR(E7="",F7=""),"",INT(F7-E7))</f>
        <v>10</v>
      </c>
      <c r="H7" s="7" t="s">
        <v>90</v>
      </c>
      <c r="I7" s="7" t="s">
        <v>91</v>
      </c>
      <c r="J7" s="7">
        <v>0</v>
      </c>
      <c r="K7" s="11" t="s">
        <v>89</v>
      </c>
      <c r="L7" s="12" t="s">
        <v>35</v>
      </c>
      <c r="M7" s="12" t="s">
        <v>92</v>
      </c>
      <c r="N7" s="12" t="s">
        <v>64</v>
      </c>
      <c r="O7" s="13" t="s">
        <v>93</v>
      </c>
      <c r="P7" s="15" t="s">
        <v>94</v>
      </c>
      <c r="Q7" s="14" t="s">
        <v>64</v>
      </c>
      <c r="R7" s="14" t="s">
        <v>44</v>
      </c>
      <c r="S7" s="15"/>
      <c r="T7" s="14" t="s">
        <v>42</v>
      </c>
      <c r="U7" s="15" t="s">
        <v>95</v>
      </c>
      <c r="V7" s="14" t="s">
        <v>44</v>
      </c>
      <c r="W7" s="14" t="s">
        <v>45</v>
      </c>
      <c r="X7" s="14" t="s">
        <v>96</v>
      </c>
      <c r="Y7" s="14"/>
      <c r="Z7" s="14"/>
      <c r="AA7" s="16" t="s">
        <v>44</v>
      </c>
      <c r="AB7" s="17">
        <v>46139</v>
      </c>
    </row>
    <row r="8" spans="1:28" ht="39.75" customHeight="1">
      <c r="A8" s="6" t="s">
        <v>97</v>
      </c>
      <c r="B8" s="7" t="s">
        <v>98</v>
      </c>
      <c r="C8" s="7" t="s">
        <v>30</v>
      </c>
      <c r="D8" s="7" t="s">
        <v>99</v>
      </c>
      <c r="E8" s="8">
        <v>46129.5019328704</v>
      </c>
      <c r="F8" s="8">
        <v>46129.7338310185</v>
      </c>
      <c r="G8" s="7">
        <v>0</v>
      </c>
      <c r="H8" s="7" t="s">
        <v>100</v>
      </c>
      <c r="I8" s="7"/>
      <c r="J8" s="10">
        <v>39</v>
      </c>
      <c r="K8" s="11" t="s">
        <v>98</v>
      </c>
      <c r="L8" s="12"/>
      <c r="M8" s="12"/>
      <c r="N8" s="12" t="s">
        <v>101</v>
      </c>
      <c r="O8" s="13" t="s">
        <v>102</v>
      </c>
      <c r="P8" s="14" t="s">
        <v>103</v>
      </c>
      <c r="Q8" s="14" t="s">
        <v>40</v>
      </c>
      <c r="R8" s="14" t="s">
        <v>44</v>
      </c>
      <c r="S8" s="15" t="s">
        <v>104</v>
      </c>
      <c r="T8" s="14" t="s">
        <v>42</v>
      </c>
      <c r="U8" s="15"/>
      <c r="V8" s="14" t="s">
        <v>44</v>
      </c>
      <c r="W8" s="14"/>
      <c r="X8" s="14"/>
      <c r="Y8" s="14"/>
      <c r="Z8" s="14" t="s">
        <v>105</v>
      </c>
      <c r="AA8" s="19" t="s">
        <v>44</v>
      </c>
      <c r="AB8" s="17">
        <v>46132</v>
      </c>
    </row>
    <row r="9" spans="1:28" ht="39.75" customHeight="1">
      <c r="A9" s="6" t="s">
        <v>106</v>
      </c>
      <c r="B9" s="7" t="s">
        <v>107</v>
      </c>
      <c r="C9" s="7" t="s">
        <v>30</v>
      </c>
      <c r="D9" s="7" t="s">
        <v>59</v>
      </c>
      <c r="E9" s="8">
        <v>46118.668229166702</v>
      </c>
      <c r="F9" s="8">
        <v>46126.359675925902</v>
      </c>
      <c r="G9" s="7">
        <v>7</v>
      </c>
      <c r="H9" s="7" t="s">
        <v>108</v>
      </c>
      <c r="I9" s="7" t="s">
        <v>81</v>
      </c>
      <c r="J9" s="10">
        <v>24</v>
      </c>
      <c r="K9" s="11" t="s">
        <v>107</v>
      </c>
      <c r="L9" s="12" t="s">
        <v>109</v>
      </c>
      <c r="M9" s="12" t="s">
        <v>110</v>
      </c>
      <c r="N9" s="12" t="s">
        <v>52</v>
      </c>
      <c r="O9" s="13" t="s">
        <v>111</v>
      </c>
      <c r="P9" s="14" t="s">
        <v>112</v>
      </c>
      <c r="Q9" s="14" t="s">
        <v>55</v>
      </c>
      <c r="R9" s="14" t="s">
        <v>44</v>
      </c>
      <c r="S9" s="15" t="s">
        <v>113</v>
      </c>
      <c r="T9" s="14" t="s">
        <v>114</v>
      </c>
      <c r="U9" s="15" t="s">
        <v>115</v>
      </c>
      <c r="V9" s="14" t="s">
        <v>44</v>
      </c>
      <c r="W9" s="14" t="s">
        <v>116</v>
      </c>
      <c r="X9" s="14"/>
      <c r="Y9" s="14">
        <v>220401</v>
      </c>
      <c r="Z9" s="14" t="s">
        <v>117</v>
      </c>
      <c r="AA9" s="19" t="s">
        <v>44</v>
      </c>
      <c r="AB9" s="17">
        <v>46132</v>
      </c>
    </row>
    <row r="10" spans="1:28" ht="39.75" customHeight="1">
      <c r="A10" s="6" t="s">
        <v>118</v>
      </c>
      <c r="B10" s="7" t="s">
        <v>119</v>
      </c>
      <c r="C10" s="7" t="s">
        <v>30</v>
      </c>
      <c r="D10" s="7" t="s">
        <v>31</v>
      </c>
      <c r="E10" s="8">
        <v>46100.606192129599</v>
      </c>
      <c r="F10" s="8">
        <v>46128.563275462999</v>
      </c>
      <c r="G10" s="7">
        <v>27</v>
      </c>
      <c r="H10" s="7" t="s">
        <v>120</v>
      </c>
      <c r="I10" s="7" t="s">
        <v>91</v>
      </c>
      <c r="J10" s="10">
        <v>6</v>
      </c>
      <c r="K10" s="11"/>
      <c r="L10" s="12" t="s">
        <v>35</v>
      </c>
      <c r="M10" s="12" t="s">
        <v>121</v>
      </c>
      <c r="N10" s="12" t="s">
        <v>64</v>
      </c>
      <c r="O10" s="13" t="s">
        <v>122</v>
      </c>
      <c r="P10" s="14" t="s">
        <v>123</v>
      </c>
      <c r="Q10" s="14" t="s">
        <v>55</v>
      </c>
      <c r="R10" s="14" t="s">
        <v>44</v>
      </c>
      <c r="S10" s="15" t="s">
        <v>124</v>
      </c>
      <c r="T10" s="14" t="s">
        <v>42</v>
      </c>
      <c r="U10" s="15" t="s">
        <v>125</v>
      </c>
      <c r="V10" s="14" t="s">
        <v>44</v>
      </c>
      <c r="W10" s="14" t="s">
        <v>126</v>
      </c>
      <c r="X10" s="14" t="s">
        <v>127</v>
      </c>
      <c r="Y10" s="14"/>
      <c r="Z10" s="14" t="s">
        <v>128</v>
      </c>
      <c r="AA10" s="19" t="s">
        <v>44</v>
      </c>
      <c r="AB10" s="17">
        <v>46132</v>
      </c>
    </row>
    <row r="11" spans="1:28" ht="39.75" customHeight="1">
      <c r="A11" s="6" t="s">
        <v>129</v>
      </c>
      <c r="B11" s="7" t="s">
        <v>130</v>
      </c>
      <c r="C11" s="7" t="s">
        <v>30</v>
      </c>
      <c r="D11" s="7" t="s">
        <v>59</v>
      </c>
      <c r="E11" s="8">
        <v>46128.559826388897</v>
      </c>
      <c r="F11" s="8">
        <v>46129.536400463003</v>
      </c>
      <c r="G11" s="7">
        <v>0</v>
      </c>
      <c r="H11" s="7" t="s">
        <v>90</v>
      </c>
      <c r="I11" s="7" t="s">
        <v>90</v>
      </c>
      <c r="J11" s="7">
        <v>2</v>
      </c>
      <c r="K11" s="11" t="s">
        <v>130</v>
      </c>
      <c r="L11" s="12" t="s">
        <v>35</v>
      </c>
      <c r="M11" s="12" t="s">
        <v>121</v>
      </c>
      <c r="N11" s="12" t="s">
        <v>52</v>
      </c>
      <c r="O11" s="13" t="s">
        <v>131</v>
      </c>
      <c r="P11" s="14" t="s">
        <v>132</v>
      </c>
      <c r="Q11" s="14"/>
      <c r="R11" s="14" t="s">
        <v>44</v>
      </c>
      <c r="S11" s="15" t="s">
        <v>133</v>
      </c>
      <c r="T11" s="14" t="s">
        <v>42</v>
      </c>
      <c r="U11" s="15" t="s">
        <v>134</v>
      </c>
      <c r="V11" s="14"/>
      <c r="W11" s="14" t="s">
        <v>126</v>
      </c>
      <c r="X11" s="14" t="s">
        <v>127</v>
      </c>
      <c r="Y11" s="14"/>
      <c r="Z11" s="14"/>
      <c r="AA11" s="19" t="s">
        <v>44</v>
      </c>
      <c r="AB11" s="17">
        <v>46132</v>
      </c>
    </row>
    <row r="12" spans="1:28" ht="39.75" customHeight="1">
      <c r="A12" s="6" t="s">
        <v>135</v>
      </c>
      <c r="B12" s="7" t="s">
        <v>136</v>
      </c>
      <c r="C12" s="7" t="s">
        <v>30</v>
      </c>
      <c r="D12" s="7" t="s">
        <v>59</v>
      </c>
      <c r="E12" s="8">
        <v>46126.400532407402</v>
      </c>
      <c r="F12" s="8">
        <v>46127.354837963001</v>
      </c>
      <c r="G12" s="7">
        <v>0</v>
      </c>
      <c r="H12" s="7" t="s">
        <v>137</v>
      </c>
      <c r="I12" s="7"/>
      <c r="J12" s="7">
        <v>1</v>
      </c>
      <c r="K12" s="11" t="s">
        <v>136</v>
      </c>
      <c r="L12" s="12" t="s">
        <v>109</v>
      </c>
      <c r="M12" s="12" t="s">
        <v>138</v>
      </c>
      <c r="N12" s="12" t="s">
        <v>72</v>
      </c>
      <c r="O12" s="13" t="s">
        <v>139</v>
      </c>
      <c r="P12" s="14" t="s">
        <v>140</v>
      </c>
      <c r="Q12" s="14" t="s">
        <v>40</v>
      </c>
      <c r="R12" s="14" t="s">
        <v>44</v>
      </c>
      <c r="S12" s="15" t="s">
        <v>141</v>
      </c>
      <c r="T12" s="14" t="s">
        <v>42</v>
      </c>
      <c r="U12" s="15" t="s">
        <v>142</v>
      </c>
      <c r="V12" s="14" t="s">
        <v>44</v>
      </c>
      <c r="W12" s="14" t="s">
        <v>116</v>
      </c>
      <c r="X12" s="14" t="s">
        <v>143</v>
      </c>
      <c r="Y12" s="14"/>
      <c r="Z12" s="14" t="s">
        <v>144</v>
      </c>
      <c r="AA12" s="19" t="s">
        <v>44</v>
      </c>
      <c r="AB12" s="17">
        <v>46132</v>
      </c>
    </row>
    <row r="13" spans="1:28" ht="39.75" customHeight="1">
      <c r="A13" s="6" t="s">
        <v>145</v>
      </c>
      <c r="B13" s="7" t="s">
        <v>146</v>
      </c>
      <c r="C13" s="7" t="s">
        <v>30</v>
      </c>
      <c r="D13" s="7" t="s">
        <v>59</v>
      </c>
      <c r="E13" s="8">
        <v>46120.537905092599</v>
      </c>
      <c r="F13" s="8">
        <v>46120.587488425903</v>
      </c>
      <c r="G13" s="7">
        <v>0</v>
      </c>
      <c r="H13" s="7" t="s">
        <v>147</v>
      </c>
      <c r="I13" s="7"/>
      <c r="J13" s="7">
        <v>0</v>
      </c>
      <c r="K13" s="11" t="s">
        <v>148</v>
      </c>
      <c r="L13" s="12" t="s">
        <v>35</v>
      </c>
      <c r="M13" s="12" t="s">
        <v>149</v>
      </c>
      <c r="N13" s="12" t="s">
        <v>72</v>
      </c>
      <c r="O13" s="13" t="s">
        <v>150</v>
      </c>
      <c r="P13" s="14" t="s">
        <v>151</v>
      </c>
      <c r="Q13" s="14" t="s">
        <v>64</v>
      </c>
      <c r="R13" s="14" t="s">
        <v>44</v>
      </c>
      <c r="S13" s="15" t="s">
        <v>152</v>
      </c>
      <c r="T13" s="14"/>
      <c r="U13" s="15" t="s">
        <v>153</v>
      </c>
      <c r="V13" s="14"/>
      <c r="W13" s="14" t="s">
        <v>154</v>
      </c>
      <c r="X13" s="14" t="s">
        <v>155</v>
      </c>
      <c r="Y13" s="14"/>
      <c r="Z13" s="14"/>
      <c r="AA13" s="19" t="s">
        <v>44</v>
      </c>
      <c r="AB13" s="17">
        <v>46132</v>
      </c>
    </row>
    <row r="14" spans="1:28" ht="52.35" hidden="1">
      <c r="A14" s="6" t="s">
        <v>156</v>
      </c>
      <c r="B14" s="7" t="s">
        <v>157</v>
      </c>
      <c r="C14" s="7" t="s">
        <v>30</v>
      </c>
      <c r="D14" s="7" t="s">
        <v>59</v>
      </c>
      <c r="E14" s="8">
        <v>46119.393090277801</v>
      </c>
      <c r="F14" s="8">
        <v>46122.628645833298</v>
      </c>
      <c r="G14" s="7">
        <v>3</v>
      </c>
      <c r="H14" s="7" t="s">
        <v>158</v>
      </c>
      <c r="I14" s="7" t="s">
        <v>158</v>
      </c>
      <c r="J14" s="10">
        <v>37</v>
      </c>
      <c r="K14" s="11" t="s">
        <v>157</v>
      </c>
      <c r="L14" s="12" t="s">
        <v>62</v>
      </c>
      <c r="M14" s="12" t="s">
        <v>159</v>
      </c>
      <c r="N14" s="12" t="s">
        <v>52</v>
      </c>
      <c r="O14" s="13" t="s">
        <v>160</v>
      </c>
      <c r="P14" s="14" t="s">
        <v>161</v>
      </c>
      <c r="Q14" s="14" t="s">
        <v>162</v>
      </c>
      <c r="R14" s="14" t="s">
        <v>44</v>
      </c>
      <c r="S14" s="15" t="s">
        <v>163</v>
      </c>
      <c r="T14" s="14" t="s">
        <v>42</v>
      </c>
      <c r="U14" s="15" t="s">
        <v>164</v>
      </c>
      <c r="V14" s="14" t="s">
        <v>44</v>
      </c>
      <c r="W14" s="14" t="s">
        <v>165</v>
      </c>
      <c r="X14" s="14" t="s">
        <v>166</v>
      </c>
      <c r="Y14" s="14" t="s">
        <v>167</v>
      </c>
      <c r="Z14" s="14" t="s">
        <v>168</v>
      </c>
      <c r="AA14" s="19" t="s">
        <v>44</v>
      </c>
      <c r="AB14" s="17">
        <v>46125</v>
      </c>
    </row>
    <row r="15" spans="1:28" ht="39.75" hidden="1" customHeight="1">
      <c r="A15" s="6" t="s">
        <v>169</v>
      </c>
      <c r="B15" s="7" t="s">
        <v>170</v>
      </c>
      <c r="C15" s="7" t="s">
        <v>30</v>
      </c>
      <c r="D15" s="7" t="s">
        <v>31</v>
      </c>
      <c r="E15" s="8">
        <v>46113</v>
      </c>
      <c r="F15" s="8">
        <v>46119</v>
      </c>
      <c r="G15" s="7">
        <v>6</v>
      </c>
      <c r="H15" s="7" t="s">
        <v>120</v>
      </c>
      <c r="I15" s="7" t="s">
        <v>91</v>
      </c>
      <c r="J15" s="10">
        <v>25</v>
      </c>
      <c r="K15" s="11" t="s">
        <v>170</v>
      </c>
      <c r="L15" s="12" t="s">
        <v>35</v>
      </c>
      <c r="M15" s="12" t="s">
        <v>36</v>
      </c>
      <c r="N15" s="12" t="s">
        <v>64</v>
      </c>
      <c r="O15" s="13" t="s">
        <v>171</v>
      </c>
      <c r="P15" s="14" t="s">
        <v>123</v>
      </c>
      <c r="Q15" s="14" t="s">
        <v>55</v>
      </c>
      <c r="R15" s="14" t="s">
        <v>44</v>
      </c>
      <c r="S15" s="15" t="s">
        <v>172</v>
      </c>
      <c r="T15" s="14" t="s">
        <v>42</v>
      </c>
      <c r="U15" s="15" t="s">
        <v>125</v>
      </c>
      <c r="V15" s="14" t="s">
        <v>44</v>
      </c>
      <c r="W15" s="14" t="s">
        <v>45</v>
      </c>
      <c r="X15" s="14" t="s">
        <v>46</v>
      </c>
      <c r="Y15" s="14"/>
      <c r="Z15" s="14" t="s">
        <v>128</v>
      </c>
      <c r="AA15" s="19" t="s">
        <v>44</v>
      </c>
      <c r="AB15" s="17">
        <v>46125</v>
      </c>
    </row>
    <row r="16" spans="1:28" ht="39.75" hidden="1" customHeight="1">
      <c r="A16" s="6" t="s">
        <v>173</v>
      </c>
      <c r="B16" s="7" t="s">
        <v>174</v>
      </c>
      <c r="C16" s="7" t="s">
        <v>30</v>
      </c>
      <c r="D16" s="7" t="s">
        <v>59</v>
      </c>
      <c r="E16" s="8">
        <v>46108</v>
      </c>
      <c r="F16" s="8">
        <v>46122</v>
      </c>
      <c r="G16" s="7">
        <v>14</v>
      </c>
      <c r="H16" s="7" t="s">
        <v>175</v>
      </c>
      <c r="I16" s="7" t="s">
        <v>175</v>
      </c>
      <c r="J16" s="10">
        <v>9</v>
      </c>
      <c r="K16" s="11" t="s">
        <v>174</v>
      </c>
      <c r="L16" s="12" t="s">
        <v>35</v>
      </c>
      <c r="M16" s="12" t="s">
        <v>36</v>
      </c>
      <c r="N16" s="12" t="s">
        <v>176</v>
      </c>
      <c r="O16" s="13" t="s">
        <v>177</v>
      </c>
      <c r="P16" s="14" t="s">
        <v>178</v>
      </c>
      <c r="Q16" s="14" t="s">
        <v>64</v>
      </c>
      <c r="R16" s="14" t="s">
        <v>44</v>
      </c>
      <c r="S16" s="15" t="s">
        <v>179</v>
      </c>
      <c r="T16" s="14" t="s">
        <v>42</v>
      </c>
      <c r="U16" s="15" t="s">
        <v>180</v>
      </c>
      <c r="V16" s="14" t="s">
        <v>44</v>
      </c>
      <c r="W16" s="14" t="s">
        <v>45</v>
      </c>
      <c r="X16" s="14" t="s">
        <v>46</v>
      </c>
      <c r="Y16" s="14"/>
      <c r="Z16" s="14"/>
      <c r="AA16" s="19" t="s">
        <v>44</v>
      </c>
      <c r="AB16" s="17">
        <v>46125</v>
      </c>
    </row>
    <row r="17" spans="1:28" ht="39.75" hidden="1" customHeight="1">
      <c r="A17" s="6" t="s">
        <v>181</v>
      </c>
      <c r="B17" s="7" t="s">
        <v>182</v>
      </c>
      <c r="C17" s="7" t="s">
        <v>30</v>
      </c>
      <c r="D17" s="7" t="s">
        <v>59</v>
      </c>
      <c r="E17" s="8">
        <v>46111</v>
      </c>
      <c r="F17" s="8">
        <v>46125</v>
      </c>
      <c r="G17" s="7">
        <v>14</v>
      </c>
      <c r="H17" s="7" t="s">
        <v>175</v>
      </c>
      <c r="I17" s="7" t="s">
        <v>183</v>
      </c>
      <c r="J17" s="10">
        <v>9</v>
      </c>
      <c r="K17" s="11" t="s">
        <v>182</v>
      </c>
      <c r="L17" s="12" t="s">
        <v>35</v>
      </c>
      <c r="M17" s="12" t="s">
        <v>184</v>
      </c>
      <c r="N17" s="12" t="s">
        <v>64</v>
      </c>
      <c r="O17" s="13" t="s">
        <v>185</v>
      </c>
      <c r="P17" s="14" t="s">
        <v>186</v>
      </c>
      <c r="Q17" s="14" t="s">
        <v>55</v>
      </c>
      <c r="R17" s="14" t="s">
        <v>44</v>
      </c>
      <c r="S17" s="15" t="s">
        <v>187</v>
      </c>
      <c r="T17" s="14" t="s">
        <v>114</v>
      </c>
      <c r="U17" s="15" t="s">
        <v>188</v>
      </c>
      <c r="V17" s="14" t="s">
        <v>44</v>
      </c>
      <c r="W17" s="14" t="s">
        <v>154</v>
      </c>
      <c r="X17" s="14" t="s">
        <v>46</v>
      </c>
      <c r="Y17" s="14">
        <v>140401</v>
      </c>
      <c r="Z17" s="14" t="s">
        <v>189</v>
      </c>
      <c r="AA17" s="19" t="s">
        <v>44</v>
      </c>
      <c r="AB17" s="17">
        <v>46125</v>
      </c>
    </row>
    <row r="18" spans="1:28" ht="39.75" hidden="1" customHeight="1">
      <c r="A18" s="6" t="s">
        <v>190</v>
      </c>
      <c r="B18" s="7" t="s">
        <v>191</v>
      </c>
      <c r="C18" s="7" t="s">
        <v>30</v>
      </c>
      <c r="D18" s="7" t="s">
        <v>192</v>
      </c>
      <c r="E18" s="8">
        <v>46114</v>
      </c>
      <c r="F18" s="8">
        <v>46125</v>
      </c>
      <c r="G18" s="7">
        <v>11</v>
      </c>
      <c r="H18" s="7" t="s">
        <v>80</v>
      </c>
      <c r="I18" s="7" t="s">
        <v>183</v>
      </c>
      <c r="J18" s="10">
        <v>7</v>
      </c>
      <c r="K18" s="11" t="s">
        <v>191</v>
      </c>
      <c r="L18" s="12" t="s">
        <v>35</v>
      </c>
      <c r="M18" s="12" t="s">
        <v>193</v>
      </c>
      <c r="N18" s="12" t="s">
        <v>64</v>
      </c>
      <c r="O18" s="13" t="s">
        <v>194</v>
      </c>
      <c r="P18" s="14" t="s">
        <v>195</v>
      </c>
      <c r="Q18" s="14" t="s">
        <v>55</v>
      </c>
      <c r="R18" s="14" t="s">
        <v>44</v>
      </c>
      <c r="S18" s="15" t="s">
        <v>196</v>
      </c>
      <c r="T18" s="14"/>
      <c r="U18" s="15" t="s">
        <v>197</v>
      </c>
      <c r="V18" s="14" t="s">
        <v>44</v>
      </c>
      <c r="W18" s="14" t="s">
        <v>154</v>
      </c>
      <c r="X18" s="14" t="s">
        <v>198</v>
      </c>
      <c r="Y18" s="14"/>
      <c r="Z18" s="14"/>
      <c r="AA18" s="19" t="s">
        <v>44</v>
      </c>
      <c r="AB18" s="17">
        <v>46125</v>
      </c>
    </row>
    <row r="19" spans="1:28" ht="39.75" hidden="1" customHeight="1">
      <c r="A19" s="6" t="s">
        <v>199</v>
      </c>
      <c r="B19" s="7" t="s">
        <v>200</v>
      </c>
      <c r="C19" s="7" t="s">
        <v>30</v>
      </c>
      <c r="D19" s="7" t="s">
        <v>59</v>
      </c>
      <c r="E19" s="8">
        <v>46113</v>
      </c>
      <c r="F19" s="8">
        <v>46125</v>
      </c>
      <c r="G19" s="7">
        <v>12</v>
      </c>
      <c r="H19" s="7" t="s">
        <v>175</v>
      </c>
      <c r="I19" s="7" t="s">
        <v>183</v>
      </c>
      <c r="J19" s="7">
        <v>2</v>
      </c>
      <c r="K19" s="11"/>
      <c r="L19" s="12" t="s">
        <v>35</v>
      </c>
      <c r="M19" s="12" t="s">
        <v>121</v>
      </c>
      <c r="N19" s="12" t="s">
        <v>64</v>
      </c>
      <c r="O19" s="13" t="s">
        <v>201</v>
      </c>
      <c r="P19" s="14" t="s">
        <v>202</v>
      </c>
      <c r="Q19" s="14" t="s">
        <v>55</v>
      </c>
      <c r="R19" s="14" t="s">
        <v>44</v>
      </c>
      <c r="S19" s="15" t="s">
        <v>203</v>
      </c>
      <c r="T19" s="14"/>
      <c r="U19" s="15" t="s">
        <v>204</v>
      </c>
      <c r="V19" s="14" t="s">
        <v>44</v>
      </c>
      <c r="W19" s="14" t="s">
        <v>126</v>
      </c>
      <c r="X19" s="14" t="s">
        <v>127</v>
      </c>
      <c r="Y19" s="14">
        <v>140402</v>
      </c>
      <c r="Z19" s="14" t="s">
        <v>205</v>
      </c>
      <c r="AA19" s="19" t="s">
        <v>44</v>
      </c>
      <c r="AB19" s="17">
        <v>46125</v>
      </c>
    </row>
    <row r="20" spans="1:28" ht="39.75" hidden="1" customHeight="1">
      <c r="A20" s="6" t="s">
        <v>206</v>
      </c>
      <c r="B20" s="7" t="s">
        <v>207</v>
      </c>
      <c r="C20" s="7" t="s">
        <v>30</v>
      </c>
      <c r="D20" s="7" t="s">
        <v>59</v>
      </c>
      <c r="E20" s="8">
        <v>46114</v>
      </c>
      <c r="F20" s="8">
        <v>46119</v>
      </c>
      <c r="G20" s="7">
        <v>5</v>
      </c>
      <c r="H20" s="7" t="s">
        <v>208</v>
      </c>
      <c r="I20" s="7" t="s">
        <v>33</v>
      </c>
      <c r="J20" s="7">
        <v>1</v>
      </c>
      <c r="K20" s="11" t="s">
        <v>209</v>
      </c>
      <c r="L20" s="12" t="s">
        <v>35</v>
      </c>
      <c r="M20" s="12" t="s">
        <v>36</v>
      </c>
      <c r="N20" s="12" t="s">
        <v>72</v>
      </c>
      <c r="O20" s="13" t="s">
        <v>210</v>
      </c>
      <c r="P20" s="14" t="s">
        <v>211</v>
      </c>
      <c r="Q20" s="14" t="s">
        <v>55</v>
      </c>
      <c r="R20" s="14" t="s">
        <v>44</v>
      </c>
      <c r="S20" s="15" t="s">
        <v>212</v>
      </c>
      <c r="T20" s="14"/>
      <c r="U20" s="15" t="s">
        <v>213</v>
      </c>
      <c r="V20" s="14" t="s">
        <v>44</v>
      </c>
      <c r="W20" s="14" t="s">
        <v>45</v>
      </c>
      <c r="X20" s="14" t="s">
        <v>46</v>
      </c>
      <c r="Y20" s="14"/>
      <c r="Z20" s="14"/>
      <c r="AA20" s="19" t="s">
        <v>44</v>
      </c>
      <c r="AB20" s="17">
        <v>46125</v>
      </c>
    </row>
    <row r="21" spans="1:28" ht="39.75" hidden="1" customHeight="1">
      <c r="A21" s="6" t="s">
        <v>214</v>
      </c>
      <c r="B21" s="7" t="s">
        <v>215</v>
      </c>
      <c r="C21" s="7" t="s">
        <v>30</v>
      </c>
      <c r="D21" s="7" t="s">
        <v>59</v>
      </c>
      <c r="E21" s="8">
        <v>46118</v>
      </c>
      <c r="F21" s="8">
        <v>46121</v>
      </c>
      <c r="G21" s="7">
        <v>3</v>
      </c>
      <c r="H21" s="7" t="s">
        <v>108</v>
      </c>
      <c r="I21" s="7" t="s">
        <v>81</v>
      </c>
      <c r="J21" s="7">
        <v>1</v>
      </c>
      <c r="K21" s="11" t="s">
        <v>215</v>
      </c>
      <c r="L21" s="12" t="s">
        <v>109</v>
      </c>
      <c r="M21" s="12" t="s">
        <v>216</v>
      </c>
      <c r="N21" s="12" t="s">
        <v>217</v>
      </c>
      <c r="O21" s="13" t="s">
        <v>218</v>
      </c>
      <c r="P21" s="14" t="s">
        <v>219</v>
      </c>
      <c r="Q21" s="14" t="s">
        <v>55</v>
      </c>
      <c r="R21" s="14" t="s">
        <v>44</v>
      </c>
      <c r="S21" s="15" t="s">
        <v>220</v>
      </c>
      <c r="T21" s="14" t="s">
        <v>114</v>
      </c>
      <c r="U21" s="15" t="s">
        <v>221</v>
      </c>
      <c r="V21" s="14" t="s">
        <v>44</v>
      </c>
      <c r="W21" s="14" t="s">
        <v>222</v>
      </c>
      <c r="X21" s="14" t="s">
        <v>223</v>
      </c>
      <c r="Y21" s="14">
        <v>140403</v>
      </c>
      <c r="Z21" s="14" t="s">
        <v>224</v>
      </c>
      <c r="AA21" s="19" t="s">
        <v>44</v>
      </c>
      <c r="AB21" s="17">
        <v>46125</v>
      </c>
    </row>
    <row r="22" spans="1:28" ht="39.75" hidden="1" customHeight="1">
      <c r="A22" s="6" t="s">
        <v>225</v>
      </c>
      <c r="B22" s="7" t="s">
        <v>226</v>
      </c>
      <c r="C22" s="7" t="s">
        <v>30</v>
      </c>
      <c r="D22" s="7" t="s">
        <v>31</v>
      </c>
      <c r="E22" s="8">
        <v>46111</v>
      </c>
      <c r="F22" s="8">
        <v>46112</v>
      </c>
      <c r="G22" s="7">
        <v>1</v>
      </c>
      <c r="H22" s="7" t="s">
        <v>137</v>
      </c>
      <c r="I22" s="7" t="s">
        <v>81</v>
      </c>
      <c r="J22" s="10">
        <v>10</v>
      </c>
      <c r="K22" s="11" t="s">
        <v>226</v>
      </c>
      <c r="L22" s="12" t="s">
        <v>109</v>
      </c>
      <c r="M22" s="12" t="s">
        <v>138</v>
      </c>
      <c r="N22" s="12" t="s">
        <v>64</v>
      </c>
      <c r="O22" s="13" t="s">
        <v>227</v>
      </c>
      <c r="P22" s="14" t="s">
        <v>228</v>
      </c>
      <c r="Q22" s="14" t="s">
        <v>55</v>
      </c>
      <c r="R22" s="14" t="s">
        <v>44</v>
      </c>
      <c r="S22" s="15" t="s">
        <v>229</v>
      </c>
      <c r="T22" s="14" t="s">
        <v>114</v>
      </c>
      <c r="U22" s="15" t="s">
        <v>230</v>
      </c>
      <c r="V22" s="14" t="s">
        <v>44</v>
      </c>
      <c r="W22" s="14" t="s">
        <v>116</v>
      </c>
      <c r="X22" s="14" t="s">
        <v>143</v>
      </c>
      <c r="Y22" s="14" t="s">
        <v>231</v>
      </c>
      <c r="Z22" s="14" t="s">
        <v>232</v>
      </c>
      <c r="AA22" s="19" t="s">
        <v>44</v>
      </c>
      <c r="AB22" s="17">
        <v>46118</v>
      </c>
    </row>
    <row r="23" spans="1:28" ht="39.75" hidden="1" customHeight="1">
      <c r="A23" s="6" t="s">
        <v>233</v>
      </c>
      <c r="B23" s="7" t="s">
        <v>234</v>
      </c>
      <c r="C23" s="7" t="s">
        <v>30</v>
      </c>
      <c r="D23" s="7" t="s">
        <v>99</v>
      </c>
      <c r="E23" s="8">
        <v>46113</v>
      </c>
      <c r="F23" s="8">
        <v>46113</v>
      </c>
      <c r="G23" s="7">
        <v>0</v>
      </c>
      <c r="H23" s="7" t="s">
        <v>235</v>
      </c>
      <c r="I23" s="7" t="s">
        <v>33</v>
      </c>
      <c r="J23" s="7">
        <v>1</v>
      </c>
      <c r="K23" s="11"/>
      <c r="L23" s="12" t="s">
        <v>236</v>
      </c>
      <c r="M23" s="12" t="s">
        <v>236</v>
      </c>
      <c r="N23" s="12" t="s">
        <v>37</v>
      </c>
      <c r="O23" s="13" t="s">
        <v>237</v>
      </c>
      <c r="P23" s="14" t="s">
        <v>238</v>
      </c>
      <c r="Q23" s="14" t="s">
        <v>55</v>
      </c>
      <c r="R23" s="14" t="s">
        <v>44</v>
      </c>
      <c r="S23" s="15" t="s">
        <v>239</v>
      </c>
      <c r="T23" s="14" t="s">
        <v>42</v>
      </c>
      <c r="U23" s="15"/>
      <c r="V23" s="14" t="s">
        <v>44</v>
      </c>
      <c r="W23" s="14"/>
      <c r="X23" s="14"/>
      <c r="Y23" s="14" t="s">
        <v>240</v>
      </c>
      <c r="Z23" s="14" t="s">
        <v>241</v>
      </c>
      <c r="AA23" s="19" t="s">
        <v>44</v>
      </c>
      <c r="AB23" s="17">
        <v>46118</v>
      </c>
    </row>
    <row r="24" spans="1:28" ht="39.75" hidden="1" customHeight="1">
      <c r="A24" s="6" t="s">
        <v>242</v>
      </c>
      <c r="B24" s="7" t="s">
        <v>243</v>
      </c>
      <c r="C24" s="7" t="s">
        <v>30</v>
      </c>
      <c r="D24" s="7" t="s">
        <v>59</v>
      </c>
      <c r="E24" s="8">
        <v>46114</v>
      </c>
      <c r="F24" s="8">
        <v>46118</v>
      </c>
      <c r="G24" s="7">
        <v>4</v>
      </c>
      <c r="H24" s="7" t="s">
        <v>137</v>
      </c>
      <c r="I24" s="7" t="s">
        <v>244</v>
      </c>
      <c r="J24" s="7">
        <v>1</v>
      </c>
      <c r="K24" s="11" t="s">
        <v>243</v>
      </c>
      <c r="L24" s="12" t="s">
        <v>35</v>
      </c>
      <c r="M24" s="12" t="s">
        <v>121</v>
      </c>
      <c r="N24" s="12" t="s">
        <v>52</v>
      </c>
      <c r="O24" s="13" t="s">
        <v>245</v>
      </c>
      <c r="P24" s="14" t="s">
        <v>246</v>
      </c>
      <c r="Q24" s="14" t="s">
        <v>55</v>
      </c>
      <c r="R24" s="14" t="s">
        <v>44</v>
      </c>
      <c r="S24" s="15" t="s">
        <v>247</v>
      </c>
      <c r="T24" s="14" t="s">
        <v>42</v>
      </c>
      <c r="U24" s="15"/>
      <c r="V24" s="14" t="s">
        <v>44</v>
      </c>
      <c r="W24" s="14" t="s">
        <v>126</v>
      </c>
      <c r="X24" s="14" t="s">
        <v>127</v>
      </c>
      <c r="Y24" s="14"/>
      <c r="Z24" s="14" t="s">
        <v>248</v>
      </c>
      <c r="AA24" s="19" t="s">
        <v>44</v>
      </c>
      <c r="AB24" s="17">
        <v>46118</v>
      </c>
    </row>
    <row r="25" spans="1:28" ht="39.75" hidden="1" customHeight="1">
      <c r="A25" s="6" t="s">
        <v>249</v>
      </c>
      <c r="B25" s="7" t="s">
        <v>250</v>
      </c>
      <c r="C25" s="7" t="s">
        <v>30</v>
      </c>
      <c r="D25" s="7" t="s">
        <v>59</v>
      </c>
      <c r="E25" s="8">
        <v>46100</v>
      </c>
      <c r="F25" s="8">
        <v>46112</v>
      </c>
      <c r="G25" s="7">
        <v>12</v>
      </c>
      <c r="H25" s="7" t="s">
        <v>90</v>
      </c>
      <c r="I25" s="7" t="s">
        <v>91</v>
      </c>
      <c r="J25" s="7">
        <v>1</v>
      </c>
      <c r="K25" s="11" t="s">
        <v>250</v>
      </c>
      <c r="L25" s="12" t="s">
        <v>35</v>
      </c>
      <c r="M25" s="12" t="s">
        <v>82</v>
      </c>
      <c r="N25" s="12" t="s">
        <v>52</v>
      </c>
      <c r="O25" s="13" t="s">
        <v>251</v>
      </c>
      <c r="P25" s="14" t="s">
        <v>252</v>
      </c>
      <c r="Q25" s="14" t="s">
        <v>55</v>
      </c>
      <c r="R25" s="14" t="s">
        <v>44</v>
      </c>
      <c r="S25" s="15" t="s">
        <v>253</v>
      </c>
      <c r="T25" s="14" t="s">
        <v>42</v>
      </c>
      <c r="U25" s="15"/>
      <c r="V25" s="14" t="s">
        <v>44</v>
      </c>
      <c r="W25" s="14" t="s">
        <v>45</v>
      </c>
      <c r="X25" s="14" t="s">
        <v>87</v>
      </c>
      <c r="Y25" s="14" t="s">
        <v>254</v>
      </c>
      <c r="Z25" s="14" t="s">
        <v>255</v>
      </c>
      <c r="AA25" s="19" t="s">
        <v>44</v>
      </c>
      <c r="AB25" s="17">
        <v>46118</v>
      </c>
    </row>
    <row r="26" spans="1:28" ht="39.75" hidden="1" customHeight="1">
      <c r="A26" s="6" t="s">
        <v>256</v>
      </c>
      <c r="B26" s="7" t="s">
        <v>257</v>
      </c>
      <c r="C26" s="7" t="s">
        <v>30</v>
      </c>
      <c r="D26" s="7" t="s">
        <v>59</v>
      </c>
      <c r="E26" s="8">
        <v>46108</v>
      </c>
      <c r="F26" s="8">
        <v>46112</v>
      </c>
      <c r="G26" s="7">
        <v>4</v>
      </c>
      <c r="H26" s="7" t="s">
        <v>258</v>
      </c>
      <c r="I26" s="7" t="s">
        <v>51</v>
      </c>
      <c r="J26" s="7">
        <v>1</v>
      </c>
      <c r="K26" s="11" t="s">
        <v>257</v>
      </c>
      <c r="L26" s="12" t="s">
        <v>35</v>
      </c>
      <c r="M26" s="12" t="s">
        <v>259</v>
      </c>
      <c r="N26" s="12" t="s">
        <v>52</v>
      </c>
      <c r="O26" s="13" t="s">
        <v>260</v>
      </c>
      <c r="P26" s="14" t="s">
        <v>261</v>
      </c>
      <c r="Q26" s="14" t="s">
        <v>55</v>
      </c>
      <c r="R26" s="14" t="s">
        <v>44</v>
      </c>
      <c r="S26" s="15" t="s">
        <v>262</v>
      </c>
      <c r="T26" s="14"/>
      <c r="U26" s="15" t="s">
        <v>263</v>
      </c>
      <c r="V26" s="14" t="s">
        <v>44</v>
      </c>
      <c r="W26" s="14" t="s">
        <v>126</v>
      </c>
      <c r="X26" s="14" t="s">
        <v>198</v>
      </c>
      <c r="Y26" s="14"/>
      <c r="Z26" s="14" t="s">
        <v>264</v>
      </c>
      <c r="AA26" s="19" t="s">
        <v>44</v>
      </c>
      <c r="AB26" s="17">
        <v>46118</v>
      </c>
    </row>
    <row r="27" spans="1:28" ht="39.75" hidden="1" customHeight="1">
      <c r="A27" s="6" t="s">
        <v>265</v>
      </c>
      <c r="B27" s="7" t="s">
        <v>266</v>
      </c>
      <c r="C27" s="7" t="s">
        <v>30</v>
      </c>
      <c r="D27" s="7" t="s">
        <v>59</v>
      </c>
      <c r="E27" s="8">
        <v>46099</v>
      </c>
      <c r="F27" s="8">
        <v>46108</v>
      </c>
      <c r="G27" s="7">
        <v>9</v>
      </c>
      <c r="H27" s="7" t="s">
        <v>258</v>
      </c>
      <c r="I27" s="7" t="s">
        <v>51</v>
      </c>
      <c r="J27" s="10">
        <v>19</v>
      </c>
      <c r="K27" s="11" t="s">
        <v>266</v>
      </c>
      <c r="L27" s="12" t="s">
        <v>35</v>
      </c>
      <c r="M27" s="12" t="s">
        <v>121</v>
      </c>
      <c r="N27" s="12" t="s">
        <v>72</v>
      </c>
      <c r="O27" s="13" t="s">
        <v>267</v>
      </c>
      <c r="P27" s="14" t="s">
        <v>268</v>
      </c>
      <c r="Q27" s="14" t="s">
        <v>55</v>
      </c>
      <c r="R27" s="14" t="s">
        <v>44</v>
      </c>
      <c r="S27" s="15" t="s">
        <v>269</v>
      </c>
      <c r="T27" s="14" t="s">
        <v>42</v>
      </c>
      <c r="U27" s="15" t="s">
        <v>270</v>
      </c>
      <c r="V27" s="14" t="s">
        <v>44</v>
      </c>
      <c r="W27" s="14" t="s">
        <v>126</v>
      </c>
      <c r="X27" s="14" t="s">
        <v>127</v>
      </c>
      <c r="Y27" s="14" t="s">
        <v>271</v>
      </c>
      <c r="Z27" s="14" t="s">
        <v>272</v>
      </c>
      <c r="AA27" s="19" t="s">
        <v>44</v>
      </c>
      <c r="AB27" s="17">
        <v>46111</v>
      </c>
    </row>
    <row r="28" spans="1:28" ht="39.75" hidden="1" customHeight="1">
      <c r="A28" s="6" t="s">
        <v>273</v>
      </c>
      <c r="B28" s="7" t="s">
        <v>274</v>
      </c>
      <c r="C28" s="7" t="s">
        <v>30</v>
      </c>
      <c r="D28" s="7" t="s">
        <v>31</v>
      </c>
      <c r="E28" s="8">
        <v>46106</v>
      </c>
      <c r="F28" s="8">
        <v>46111</v>
      </c>
      <c r="G28" s="7">
        <v>5</v>
      </c>
      <c r="H28" s="7" t="s">
        <v>275</v>
      </c>
      <c r="I28" s="7" t="s">
        <v>81</v>
      </c>
      <c r="J28" s="10">
        <v>8</v>
      </c>
      <c r="K28" s="11" t="s">
        <v>274</v>
      </c>
      <c r="L28" s="12" t="s">
        <v>109</v>
      </c>
      <c r="M28" s="12" t="s">
        <v>138</v>
      </c>
      <c r="N28" s="12" t="s">
        <v>72</v>
      </c>
      <c r="O28" s="13" t="s">
        <v>276</v>
      </c>
      <c r="P28" s="14" t="s">
        <v>277</v>
      </c>
      <c r="Q28" s="14" t="s">
        <v>55</v>
      </c>
      <c r="R28" s="14" t="s">
        <v>44</v>
      </c>
      <c r="S28" s="15" t="s">
        <v>278</v>
      </c>
      <c r="T28" s="14" t="s">
        <v>42</v>
      </c>
      <c r="U28" s="15" t="s">
        <v>279</v>
      </c>
      <c r="V28" s="14" t="s">
        <v>44</v>
      </c>
      <c r="W28" s="14" t="s">
        <v>116</v>
      </c>
      <c r="X28" s="14" t="s">
        <v>143</v>
      </c>
      <c r="Y28" s="14" t="s">
        <v>280</v>
      </c>
      <c r="Z28" s="14" t="s">
        <v>281</v>
      </c>
      <c r="AA28" s="19" t="s">
        <v>44</v>
      </c>
      <c r="AB28" s="17">
        <v>46111</v>
      </c>
    </row>
    <row r="29" spans="1:28" ht="39.75" hidden="1" customHeight="1">
      <c r="A29" s="6" t="s">
        <v>282</v>
      </c>
      <c r="B29" s="7" t="s">
        <v>283</v>
      </c>
      <c r="C29" s="7" t="s">
        <v>30</v>
      </c>
      <c r="D29" s="7" t="s">
        <v>31</v>
      </c>
      <c r="E29" s="8">
        <v>46098</v>
      </c>
      <c r="F29" s="8">
        <v>46111</v>
      </c>
      <c r="G29" s="7">
        <v>13</v>
      </c>
      <c r="H29" s="7" t="s">
        <v>32</v>
      </c>
      <c r="I29" s="7" t="s">
        <v>183</v>
      </c>
      <c r="J29" s="10">
        <v>5</v>
      </c>
      <c r="K29" s="11" t="s">
        <v>283</v>
      </c>
      <c r="L29" s="12" t="s">
        <v>35</v>
      </c>
      <c r="M29" s="12" t="s">
        <v>121</v>
      </c>
      <c r="N29" s="12" t="s">
        <v>72</v>
      </c>
      <c r="O29" s="13" t="s">
        <v>284</v>
      </c>
      <c r="P29" s="14" t="s">
        <v>285</v>
      </c>
      <c r="Q29" s="14" t="s">
        <v>55</v>
      </c>
      <c r="R29" s="14" t="s">
        <v>44</v>
      </c>
      <c r="S29" s="15" t="s">
        <v>286</v>
      </c>
      <c r="T29" s="14" t="s">
        <v>42</v>
      </c>
      <c r="U29" s="15"/>
      <c r="V29" s="14" t="s">
        <v>44</v>
      </c>
      <c r="W29" s="14" t="s">
        <v>126</v>
      </c>
      <c r="X29" s="14" t="s">
        <v>127</v>
      </c>
      <c r="Y29" s="14">
        <v>310304</v>
      </c>
      <c r="Z29" s="14" t="s">
        <v>287</v>
      </c>
      <c r="AA29" s="19" t="s">
        <v>44</v>
      </c>
      <c r="AB29" s="17">
        <v>46111</v>
      </c>
    </row>
    <row r="30" spans="1:28" ht="39.75" hidden="1" customHeight="1">
      <c r="A30" s="6" t="s">
        <v>288</v>
      </c>
      <c r="B30" s="7" t="s">
        <v>289</v>
      </c>
      <c r="C30" s="7" t="s">
        <v>30</v>
      </c>
      <c r="D30" s="7" t="s">
        <v>99</v>
      </c>
      <c r="E30" s="8">
        <v>46105</v>
      </c>
      <c r="F30" s="8">
        <v>46106</v>
      </c>
      <c r="G30" s="7">
        <v>1</v>
      </c>
      <c r="H30" s="7" t="s">
        <v>33</v>
      </c>
      <c r="I30" s="7"/>
      <c r="J30" s="18">
        <v>3</v>
      </c>
      <c r="K30" s="11" t="s">
        <v>290</v>
      </c>
      <c r="L30" s="12" t="s">
        <v>35</v>
      </c>
      <c r="M30" s="12" t="s">
        <v>121</v>
      </c>
      <c r="N30" s="12" t="s">
        <v>64</v>
      </c>
      <c r="O30" s="13" t="s">
        <v>291</v>
      </c>
      <c r="P30" s="14" t="s">
        <v>292</v>
      </c>
      <c r="Q30" s="14"/>
      <c r="R30" s="14" t="s">
        <v>44</v>
      </c>
      <c r="S30" s="15" t="s">
        <v>293</v>
      </c>
      <c r="T30" s="14" t="s">
        <v>42</v>
      </c>
      <c r="U30" s="15"/>
      <c r="V30" s="14" t="s">
        <v>44</v>
      </c>
      <c r="W30" s="14" t="s">
        <v>126</v>
      </c>
      <c r="X30" s="14" t="s">
        <v>127</v>
      </c>
      <c r="Y30" s="14"/>
      <c r="Z30" s="14"/>
      <c r="AA30" s="19" t="s">
        <v>44</v>
      </c>
      <c r="AB30" s="17">
        <v>46111</v>
      </c>
    </row>
    <row r="31" spans="1:28" ht="39.75" hidden="1" customHeight="1">
      <c r="A31" s="6" t="s">
        <v>294</v>
      </c>
      <c r="B31" s="7" t="s">
        <v>295</v>
      </c>
      <c r="C31" s="7" t="s">
        <v>30</v>
      </c>
      <c r="D31" s="7" t="s">
        <v>59</v>
      </c>
      <c r="E31" s="8">
        <v>46100</v>
      </c>
      <c r="F31" s="8">
        <v>46106</v>
      </c>
      <c r="G31" s="7">
        <v>6</v>
      </c>
      <c r="H31" s="7" t="s">
        <v>108</v>
      </c>
      <c r="I31" s="7"/>
      <c r="J31" s="7">
        <v>1</v>
      </c>
      <c r="K31" s="11" t="s">
        <v>295</v>
      </c>
      <c r="L31" s="12" t="s">
        <v>109</v>
      </c>
      <c r="M31" s="12" t="s">
        <v>296</v>
      </c>
      <c r="N31" s="12" t="s">
        <v>64</v>
      </c>
      <c r="O31" s="13" t="s">
        <v>297</v>
      </c>
      <c r="P31" s="14" t="s">
        <v>298</v>
      </c>
      <c r="Q31" s="14"/>
      <c r="R31" s="14" t="s">
        <v>44</v>
      </c>
      <c r="S31" s="15" t="s">
        <v>299</v>
      </c>
      <c r="T31" s="14" t="s">
        <v>42</v>
      </c>
      <c r="U31" s="15" t="s">
        <v>300</v>
      </c>
      <c r="V31" s="14" t="s">
        <v>44</v>
      </c>
      <c r="W31" s="14" t="s">
        <v>222</v>
      </c>
      <c r="X31" s="14" t="s">
        <v>223</v>
      </c>
      <c r="Y31" s="14">
        <v>310305</v>
      </c>
      <c r="Z31" s="14" t="s">
        <v>301</v>
      </c>
      <c r="AA31" s="19" t="s">
        <v>44</v>
      </c>
      <c r="AB31" s="17">
        <v>46111</v>
      </c>
    </row>
    <row r="32" spans="1:28" ht="39.75" hidden="1" customHeight="1">
      <c r="A32" s="6" t="s">
        <v>302</v>
      </c>
      <c r="B32" s="7" t="s">
        <v>303</v>
      </c>
      <c r="C32" s="7" t="s">
        <v>30</v>
      </c>
      <c r="D32" s="7" t="s">
        <v>59</v>
      </c>
      <c r="E32" s="8">
        <v>46105</v>
      </c>
      <c r="F32" s="8">
        <v>46111</v>
      </c>
      <c r="G32" s="7">
        <v>6</v>
      </c>
      <c r="H32" s="7" t="s">
        <v>158</v>
      </c>
      <c r="I32" s="7" t="s">
        <v>304</v>
      </c>
      <c r="J32" s="7">
        <v>1</v>
      </c>
      <c r="K32" s="11" t="s">
        <v>303</v>
      </c>
      <c r="L32" s="12" t="s">
        <v>109</v>
      </c>
      <c r="M32" s="12" t="s">
        <v>305</v>
      </c>
      <c r="N32" s="12" t="s">
        <v>72</v>
      </c>
      <c r="O32" s="13" t="s">
        <v>306</v>
      </c>
      <c r="P32" s="14" t="s">
        <v>307</v>
      </c>
      <c r="Q32" s="14" t="s">
        <v>55</v>
      </c>
      <c r="R32" s="14" t="s">
        <v>44</v>
      </c>
      <c r="S32" s="15" t="s">
        <v>308</v>
      </c>
      <c r="T32" s="14"/>
      <c r="U32" s="15"/>
      <c r="V32" s="14" t="s">
        <v>44</v>
      </c>
      <c r="W32" s="14" t="s">
        <v>309</v>
      </c>
      <c r="X32" s="14" t="s">
        <v>310</v>
      </c>
      <c r="Y32" s="14">
        <v>310307</v>
      </c>
      <c r="Z32" s="14" t="s">
        <v>311</v>
      </c>
      <c r="AA32" s="19" t="s">
        <v>44</v>
      </c>
      <c r="AB32" s="17">
        <v>46111</v>
      </c>
    </row>
    <row r="33" spans="1:28" ht="39.75" hidden="1" customHeight="1">
      <c r="A33" s="6" t="s">
        <v>312</v>
      </c>
      <c r="B33" s="7" t="s">
        <v>313</v>
      </c>
      <c r="C33" s="7" t="s">
        <v>30</v>
      </c>
      <c r="D33" s="7" t="s">
        <v>59</v>
      </c>
      <c r="E33" s="8">
        <v>46108</v>
      </c>
      <c r="F33" s="8">
        <v>46109</v>
      </c>
      <c r="G33" s="7">
        <v>1</v>
      </c>
      <c r="H33" s="7" t="s">
        <v>208</v>
      </c>
      <c r="I33" s="7"/>
      <c r="J33" s="7">
        <v>1</v>
      </c>
      <c r="K33" s="11" t="s">
        <v>313</v>
      </c>
      <c r="L33" s="12" t="s">
        <v>109</v>
      </c>
      <c r="M33" s="12" t="s">
        <v>314</v>
      </c>
      <c r="N33" s="12" t="s">
        <v>72</v>
      </c>
      <c r="O33" s="13" t="s">
        <v>315</v>
      </c>
      <c r="P33" s="14" t="s">
        <v>316</v>
      </c>
      <c r="Q33" s="14" t="s">
        <v>64</v>
      </c>
      <c r="R33" s="14" t="s">
        <v>44</v>
      </c>
      <c r="S33" s="15" t="s">
        <v>317</v>
      </c>
      <c r="T33" s="14" t="s">
        <v>42</v>
      </c>
      <c r="U33" s="15"/>
      <c r="V33" s="14"/>
      <c r="W33" s="14" t="s">
        <v>222</v>
      </c>
      <c r="X33" s="14" t="s">
        <v>223</v>
      </c>
      <c r="Y33" s="14"/>
      <c r="Z33" s="14" t="s">
        <v>318</v>
      </c>
      <c r="AA33" s="19" t="s">
        <v>44</v>
      </c>
      <c r="AB33" s="17">
        <v>46111</v>
      </c>
    </row>
    <row r="34" spans="1:28" ht="39.75" hidden="1" customHeight="1">
      <c r="A34" s="6" t="s">
        <v>319</v>
      </c>
      <c r="B34" s="7" t="s">
        <v>320</v>
      </c>
      <c r="C34" s="7" t="s">
        <v>30</v>
      </c>
      <c r="D34" s="7" t="s">
        <v>59</v>
      </c>
      <c r="E34" s="8">
        <v>46098</v>
      </c>
      <c r="F34" s="8">
        <v>46111</v>
      </c>
      <c r="G34" s="7">
        <v>13</v>
      </c>
      <c r="H34" s="7" t="s">
        <v>137</v>
      </c>
      <c r="I34" s="7" t="s">
        <v>81</v>
      </c>
      <c r="J34" s="7">
        <v>1</v>
      </c>
      <c r="K34" s="11" t="s">
        <v>320</v>
      </c>
      <c r="L34" s="12"/>
      <c r="M34" s="12" t="s">
        <v>193</v>
      </c>
      <c r="N34" s="12" t="s">
        <v>40</v>
      </c>
      <c r="O34" s="13" t="s">
        <v>321</v>
      </c>
      <c r="P34" s="14"/>
      <c r="Q34" s="14"/>
      <c r="R34" s="14" t="s">
        <v>44</v>
      </c>
      <c r="S34" s="15" t="s">
        <v>322</v>
      </c>
      <c r="T34" s="14"/>
      <c r="U34" s="15"/>
      <c r="V34" s="14" t="s">
        <v>44</v>
      </c>
      <c r="W34" s="14"/>
      <c r="X34" s="14"/>
      <c r="Y34" s="14">
        <v>310306</v>
      </c>
      <c r="Z34" s="14" t="s">
        <v>323</v>
      </c>
      <c r="AA34" s="19" t="s">
        <v>44</v>
      </c>
      <c r="AB34" s="17">
        <v>46111</v>
      </c>
    </row>
    <row r="35" spans="1:28" ht="39.75" hidden="1" customHeight="1">
      <c r="A35" s="6" t="s">
        <v>324</v>
      </c>
      <c r="B35" s="7" t="s">
        <v>325</v>
      </c>
      <c r="C35" s="7" t="s">
        <v>30</v>
      </c>
      <c r="D35" s="7" t="s">
        <v>59</v>
      </c>
      <c r="E35" s="8">
        <v>46107</v>
      </c>
      <c r="F35" s="8">
        <v>46107</v>
      </c>
      <c r="G35" s="7">
        <v>0</v>
      </c>
      <c r="H35" s="7" t="s">
        <v>137</v>
      </c>
      <c r="I35" s="7" t="s">
        <v>81</v>
      </c>
      <c r="J35" s="7">
        <v>0</v>
      </c>
      <c r="K35" s="11"/>
      <c r="L35" s="12" t="s">
        <v>109</v>
      </c>
      <c r="M35" s="12" t="s">
        <v>326</v>
      </c>
      <c r="N35" s="12" t="s">
        <v>64</v>
      </c>
      <c r="O35" s="13" t="s">
        <v>327</v>
      </c>
      <c r="P35" s="14" t="s">
        <v>328</v>
      </c>
      <c r="Q35" s="14"/>
      <c r="R35" s="14" t="s">
        <v>44</v>
      </c>
      <c r="S35" s="15" t="s">
        <v>329</v>
      </c>
      <c r="T35" s="14"/>
      <c r="U35" s="15"/>
      <c r="V35" s="14" t="s">
        <v>44</v>
      </c>
      <c r="W35" s="14" t="s">
        <v>222</v>
      </c>
      <c r="X35" s="14" t="s">
        <v>223</v>
      </c>
      <c r="Y35" s="14"/>
      <c r="Z35" s="14" t="s">
        <v>330</v>
      </c>
      <c r="AA35" s="19" t="s">
        <v>44</v>
      </c>
      <c r="AB35" s="17">
        <v>46111</v>
      </c>
    </row>
    <row r="36" spans="1:28" ht="39.75" hidden="1" customHeight="1">
      <c r="A36" s="6" t="s">
        <v>331</v>
      </c>
      <c r="B36" s="7" t="s">
        <v>332</v>
      </c>
      <c r="C36" s="7" t="s">
        <v>30</v>
      </c>
      <c r="D36" s="7" t="s">
        <v>59</v>
      </c>
      <c r="E36" s="8">
        <v>46097</v>
      </c>
      <c r="F36" s="8">
        <v>46104</v>
      </c>
      <c r="G36" s="7">
        <v>7</v>
      </c>
      <c r="H36" s="7" t="s">
        <v>137</v>
      </c>
      <c r="I36" s="7" t="s">
        <v>81</v>
      </c>
      <c r="J36" s="7">
        <v>0</v>
      </c>
      <c r="K36" s="11"/>
      <c r="L36" s="12" t="s">
        <v>236</v>
      </c>
      <c r="M36" s="12" t="s">
        <v>236</v>
      </c>
      <c r="N36" s="12" t="s">
        <v>52</v>
      </c>
      <c r="O36" s="13" t="s">
        <v>333</v>
      </c>
      <c r="P36" s="14" t="s">
        <v>334</v>
      </c>
      <c r="Q36" s="14" t="s">
        <v>64</v>
      </c>
      <c r="R36" s="14" t="s">
        <v>44</v>
      </c>
      <c r="S36" s="15" t="s">
        <v>335</v>
      </c>
      <c r="T36" s="14" t="s">
        <v>42</v>
      </c>
      <c r="U36" s="15"/>
      <c r="V36" s="14" t="s">
        <v>44</v>
      </c>
      <c r="W36" s="14"/>
      <c r="X36" s="14"/>
      <c r="Y36" s="14"/>
      <c r="Z36" s="14" t="s">
        <v>336</v>
      </c>
      <c r="AA36" s="19" t="s">
        <v>44</v>
      </c>
      <c r="AB36" s="17">
        <v>46111</v>
      </c>
    </row>
  </sheetData>
  <dataValidations count="3">
    <dataValidation type="list" allowBlank="1" sqref="Q2:Q86" xr:uid="{00000000-0002-0000-0000-000000000000}">
      <formula1>"Código,Banco de Dados,Infraestrutura,Terceiros"</formula1>
      <formula2>0</formula2>
    </dataValidation>
    <dataValidation type="list" allowBlank="1" sqref="R2:R86 AA2:AA86 V2:V86" xr:uid="{00000000-0002-0000-0000-000001000000}">
      <formula1>"Sim,Não"</formula1>
      <formula2>0</formula2>
    </dataValidation>
    <dataValidation type="list" allowBlank="1" sqref="T2:T86" xr:uid="{00000000-0002-0000-0000-000002000000}">
      <formula1>"Detectou problema,Não detectou,Não se Aplica"</formula1>
      <formula2>0</formula2>
    </dataValidation>
  </dataValidations>
  <hyperlinks>
    <hyperlink ref="A2" r:id="rId1" xr:uid="{00000000-0004-0000-0000-000000000000}"/>
    <hyperlink ref="A3" r:id="rId2" xr:uid="{00000000-0004-0000-0000-000001000000}"/>
    <hyperlink ref="A4" r:id="rId3" xr:uid="{00000000-0004-0000-0000-000002000000}"/>
    <hyperlink ref="A5" r:id="rId4" xr:uid="{00000000-0004-0000-0000-000003000000}"/>
    <hyperlink ref="A6" r:id="rId5" xr:uid="{00000000-0004-0000-0000-000004000000}"/>
    <hyperlink ref="A7" r:id="rId6" xr:uid="{00000000-0004-0000-0000-000005000000}"/>
    <hyperlink ref="A8" r:id="rId7" xr:uid="{00000000-0004-0000-0000-000006000000}"/>
    <hyperlink ref="A9" r:id="rId8" xr:uid="{00000000-0004-0000-0000-000007000000}"/>
    <hyperlink ref="A10" r:id="rId9" xr:uid="{00000000-0004-0000-0000-000008000000}"/>
    <hyperlink ref="A11" r:id="rId10" xr:uid="{00000000-0004-0000-0000-000009000000}"/>
    <hyperlink ref="A12" r:id="rId11" xr:uid="{00000000-0004-0000-0000-00000A000000}"/>
    <hyperlink ref="A13" r:id="rId12" xr:uid="{00000000-0004-0000-0000-00000B000000}"/>
    <hyperlink ref="A14" r:id="rId13" xr:uid="{00000000-0004-0000-0000-00000C000000}"/>
    <hyperlink ref="A15" r:id="rId14" xr:uid="{00000000-0004-0000-0000-00000D000000}"/>
    <hyperlink ref="A16" r:id="rId15" xr:uid="{00000000-0004-0000-0000-00000E000000}"/>
    <hyperlink ref="A17" r:id="rId16" xr:uid="{00000000-0004-0000-0000-00000F000000}"/>
    <hyperlink ref="A18" r:id="rId17" xr:uid="{00000000-0004-0000-0000-000010000000}"/>
    <hyperlink ref="A19" r:id="rId18" xr:uid="{00000000-0004-0000-0000-000011000000}"/>
    <hyperlink ref="A20" r:id="rId19" xr:uid="{00000000-0004-0000-0000-000012000000}"/>
    <hyperlink ref="A21" r:id="rId20" xr:uid="{00000000-0004-0000-0000-000013000000}"/>
  </hyperlinks>
  <pageMargins left="0.75" right="0.75" top="1" bottom="1" header="0.511811023622047" footer="0.511811023622047"/>
  <pageSetup paperSize="9" orientation="portrait" horizontalDpi="300" verticalDpi="300"/>
  <tableParts count="1">
    <tablePart r:id="rId2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I35"/>
  <sheetViews>
    <sheetView tabSelected="1" zoomScaleNormal="100" workbookViewId="0">
      <pane xSplit="1" ySplit="1" topLeftCell="B2" activePane="bottomRight" state="frozen"/>
      <selection pane="bottomRight" activeCell="E8" sqref="E8"/>
      <selection pane="bottomLeft" activeCell="A11" sqref="A11"/>
      <selection pane="topRight" activeCell="B1" sqref="B1"/>
    </sheetView>
  </sheetViews>
  <sheetFormatPr defaultColWidth="8.5703125" defaultRowHeight="15"/>
  <cols>
    <col min="1" max="1" width="38" customWidth="1"/>
    <col min="2" max="2" width="16" customWidth="1"/>
    <col min="3" max="4" width="22" customWidth="1"/>
    <col min="5" max="5" width="85.5703125" customWidth="1"/>
    <col min="6" max="6" width="18" customWidth="1"/>
    <col min="7" max="8" width="14" customWidth="1"/>
    <col min="9" max="9" width="40" customWidth="1"/>
  </cols>
  <sheetData>
    <row r="1" spans="1:9" ht="31.5" customHeight="1">
      <c r="A1" s="20" t="s">
        <v>337</v>
      </c>
      <c r="B1" s="20" t="s">
        <v>338</v>
      </c>
      <c r="C1" s="20" t="s">
        <v>339</v>
      </c>
      <c r="D1" s="20" t="s">
        <v>12</v>
      </c>
      <c r="E1" s="20" t="s">
        <v>340</v>
      </c>
      <c r="F1" s="20" t="s">
        <v>341</v>
      </c>
      <c r="G1" s="20" t="s">
        <v>342</v>
      </c>
      <c r="H1" s="20" t="s">
        <v>343</v>
      </c>
      <c r="I1" s="20" t="s">
        <v>344</v>
      </c>
    </row>
    <row r="2" spans="1:9" ht="19.5" customHeight="1">
      <c r="A2" s="21" t="s">
        <v>345</v>
      </c>
      <c r="B2" s="22" t="s">
        <v>346</v>
      </c>
      <c r="C2" s="23" t="s">
        <v>347</v>
      </c>
      <c r="D2" s="23" t="s">
        <v>35</v>
      </c>
      <c r="E2" s="23" t="s">
        <v>348</v>
      </c>
      <c r="F2" s="24" t="s">
        <v>349</v>
      </c>
      <c r="G2" s="23"/>
      <c r="H2" s="23"/>
      <c r="I2" s="25"/>
    </row>
    <row r="3" spans="1:9" ht="19.5" customHeight="1">
      <c r="A3" s="21" t="s">
        <v>350</v>
      </c>
      <c r="B3" s="22" t="s">
        <v>351</v>
      </c>
      <c r="C3" s="23" t="s">
        <v>347</v>
      </c>
      <c r="D3" s="23" t="s">
        <v>35</v>
      </c>
      <c r="E3" s="23" t="s">
        <v>352</v>
      </c>
      <c r="F3" s="24" t="s">
        <v>349</v>
      </c>
      <c r="G3" s="23"/>
      <c r="H3" s="23"/>
      <c r="I3" s="25"/>
    </row>
    <row r="4" spans="1:9" ht="19.5" hidden="1" customHeight="1">
      <c r="A4" s="21" t="s">
        <v>353</v>
      </c>
      <c r="B4" s="22" t="s">
        <v>354</v>
      </c>
      <c r="C4" s="23" t="s">
        <v>355</v>
      </c>
      <c r="D4" s="23" t="s">
        <v>356</v>
      </c>
      <c r="E4" s="23" t="s">
        <v>357</v>
      </c>
      <c r="F4" s="26" t="s">
        <v>358</v>
      </c>
      <c r="G4" s="23"/>
      <c r="H4" s="23"/>
      <c r="I4" s="25" t="s">
        <v>359</v>
      </c>
    </row>
    <row r="5" spans="1:9" ht="19.5" customHeight="1">
      <c r="A5" s="21" t="s">
        <v>360</v>
      </c>
      <c r="B5" s="22" t="s">
        <v>361</v>
      </c>
      <c r="C5" s="23" t="s">
        <v>355</v>
      </c>
      <c r="D5" s="23" t="s">
        <v>356</v>
      </c>
      <c r="E5" s="23" t="s">
        <v>362</v>
      </c>
      <c r="F5" s="24" t="s">
        <v>349</v>
      </c>
      <c r="G5" s="23"/>
      <c r="H5" s="23"/>
      <c r="I5" s="25" t="s">
        <v>363</v>
      </c>
    </row>
    <row r="6" spans="1:9" ht="19.5" customHeight="1">
      <c r="A6" s="21" t="s">
        <v>364</v>
      </c>
      <c r="B6" s="22" t="s">
        <v>365</v>
      </c>
      <c r="C6" s="23" t="s">
        <v>366</v>
      </c>
      <c r="D6" s="23" t="s">
        <v>356</v>
      </c>
      <c r="E6" s="23" t="s">
        <v>367</v>
      </c>
      <c r="F6" s="23" t="s">
        <v>368</v>
      </c>
      <c r="G6" s="23"/>
      <c r="H6" s="23"/>
      <c r="I6" s="25"/>
    </row>
    <row r="7" spans="1:9" ht="19.5" customHeight="1">
      <c r="A7" s="21" t="s">
        <v>369</v>
      </c>
      <c r="B7" s="22" t="s">
        <v>370</v>
      </c>
      <c r="C7" s="23" t="s">
        <v>371</v>
      </c>
      <c r="D7" s="23" t="s">
        <v>356</v>
      </c>
      <c r="E7" s="23" t="s">
        <v>372</v>
      </c>
      <c r="F7" s="24" t="s">
        <v>349</v>
      </c>
      <c r="G7" s="23"/>
      <c r="H7" s="23"/>
      <c r="I7" s="25"/>
    </row>
    <row r="8" spans="1:9" ht="19.5" customHeight="1">
      <c r="A8" s="21" t="s">
        <v>360</v>
      </c>
      <c r="B8" s="22" t="s">
        <v>373</v>
      </c>
      <c r="C8" s="23" t="s">
        <v>355</v>
      </c>
      <c r="D8" s="23" t="s">
        <v>356</v>
      </c>
      <c r="E8" s="23" t="s">
        <v>362</v>
      </c>
      <c r="F8" s="24" t="s">
        <v>349</v>
      </c>
      <c r="G8" s="23"/>
      <c r="H8" s="23"/>
      <c r="I8" s="25" t="s">
        <v>363</v>
      </c>
    </row>
    <row r="9" spans="1:9" ht="19.5" hidden="1" customHeight="1">
      <c r="A9" s="21" t="s">
        <v>374</v>
      </c>
      <c r="B9" s="22" t="s">
        <v>375</v>
      </c>
      <c r="C9" s="23" t="s">
        <v>376</v>
      </c>
      <c r="D9" s="23" t="s">
        <v>377</v>
      </c>
      <c r="E9" s="23" t="s">
        <v>378</v>
      </c>
      <c r="F9" s="26" t="s">
        <v>358</v>
      </c>
      <c r="G9" s="23"/>
      <c r="H9" s="23"/>
      <c r="I9" s="25" t="s">
        <v>379</v>
      </c>
    </row>
    <row r="10" spans="1:9" ht="19.5" customHeight="1">
      <c r="A10" s="21" t="s">
        <v>380</v>
      </c>
      <c r="B10" s="22" t="s">
        <v>381</v>
      </c>
      <c r="C10" s="23" t="s">
        <v>366</v>
      </c>
      <c r="D10" s="23" t="s">
        <v>356</v>
      </c>
      <c r="E10" s="23" t="s">
        <v>382</v>
      </c>
      <c r="F10" s="23" t="s">
        <v>368</v>
      </c>
      <c r="G10" s="23"/>
      <c r="H10" s="23"/>
      <c r="I10" s="25"/>
    </row>
    <row r="11" spans="1:9" ht="19.5" customHeight="1">
      <c r="A11" s="21" t="s">
        <v>383</v>
      </c>
      <c r="B11" s="22" t="s">
        <v>294</v>
      </c>
      <c r="C11" s="23" t="s">
        <v>384</v>
      </c>
      <c r="D11" s="23" t="s">
        <v>356</v>
      </c>
      <c r="E11" s="23" t="s">
        <v>385</v>
      </c>
      <c r="F11" s="23" t="s">
        <v>368</v>
      </c>
      <c r="G11" s="23"/>
      <c r="H11" s="23"/>
      <c r="I11" s="25"/>
    </row>
    <row r="12" spans="1:9" ht="19.5" hidden="1" customHeight="1">
      <c r="A12" s="21" t="s">
        <v>386</v>
      </c>
      <c r="B12" s="22" t="s">
        <v>319</v>
      </c>
      <c r="C12" s="23" t="s">
        <v>355</v>
      </c>
      <c r="D12" s="23" t="s">
        <v>356</v>
      </c>
      <c r="E12" s="23" t="s">
        <v>323</v>
      </c>
      <c r="F12" s="37" t="s">
        <v>358</v>
      </c>
      <c r="G12" s="23"/>
      <c r="H12" s="23"/>
      <c r="I12" s="25"/>
    </row>
    <row r="13" spans="1:9" ht="19.5" customHeight="1">
      <c r="A13" s="21" t="s">
        <v>387</v>
      </c>
      <c r="B13" s="22" t="s">
        <v>302</v>
      </c>
      <c r="C13" s="23" t="s">
        <v>388</v>
      </c>
      <c r="D13" s="23" t="s">
        <v>389</v>
      </c>
      <c r="E13" s="23" t="s">
        <v>390</v>
      </c>
      <c r="F13" s="23" t="s">
        <v>368</v>
      </c>
      <c r="G13" s="23"/>
      <c r="H13" s="23"/>
      <c r="I13" s="25"/>
    </row>
    <row r="14" spans="1:9" ht="50.25" hidden="1" customHeight="1">
      <c r="A14" s="21" t="s">
        <v>391</v>
      </c>
      <c r="B14" s="22" t="s">
        <v>282</v>
      </c>
      <c r="C14" s="23" t="s">
        <v>392</v>
      </c>
      <c r="D14" s="23" t="s">
        <v>356</v>
      </c>
      <c r="E14" s="23" t="s">
        <v>393</v>
      </c>
      <c r="F14" s="37" t="s">
        <v>358</v>
      </c>
      <c r="G14" s="23"/>
      <c r="H14" s="23"/>
      <c r="I14" s="1" t="s">
        <v>394</v>
      </c>
    </row>
    <row r="15" spans="1:9" ht="19.5" hidden="1" customHeight="1">
      <c r="A15" s="21" t="s">
        <v>280</v>
      </c>
      <c r="B15" s="22" t="s">
        <v>273</v>
      </c>
      <c r="C15" s="23" t="s">
        <v>395</v>
      </c>
      <c r="D15" s="23" t="s">
        <v>109</v>
      </c>
      <c r="E15" s="23" t="s">
        <v>396</v>
      </c>
      <c r="F15" s="26" t="s">
        <v>358</v>
      </c>
      <c r="G15" s="23"/>
      <c r="H15" s="23"/>
      <c r="I15" s="25"/>
    </row>
    <row r="16" spans="1:9" ht="19.5" customHeight="1">
      <c r="A16" s="21" t="s">
        <v>271</v>
      </c>
      <c r="B16" s="22" t="s">
        <v>265</v>
      </c>
      <c r="C16" s="23" t="s">
        <v>397</v>
      </c>
      <c r="D16" s="23" t="s">
        <v>109</v>
      </c>
      <c r="E16" s="23" t="s">
        <v>398</v>
      </c>
      <c r="F16" s="23" t="s">
        <v>368</v>
      </c>
      <c r="G16" s="23"/>
      <c r="H16" s="23"/>
      <c r="I16" s="25"/>
    </row>
    <row r="17" spans="1:9" ht="19.5" customHeight="1">
      <c r="A17" s="21" t="s">
        <v>254</v>
      </c>
      <c r="B17" s="22" t="s">
        <v>249</v>
      </c>
      <c r="C17" s="23" t="s">
        <v>399</v>
      </c>
      <c r="D17" s="23" t="s">
        <v>109</v>
      </c>
      <c r="E17" s="23" t="s">
        <v>400</v>
      </c>
      <c r="F17" s="24" t="s">
        <v>349</v>
      </c>
      <c r="G17" s="23"/>
      <c r="H17" s="23"/>
      <c r="I17" s="25"/>
    </row>
    <row r="18" spans="1:9" ht="19.5" customHeight="1">
      <c r="A18" s="21" t="s">
        <v>240</v>
      </c>
      <c r="B18" s="22" t="s">
        <v>233</v>
      </c>
      <c r="C18" s="23" t="s">
        <v>235</v>
      </c>
      <c r="D18" s="23" t="s">
        <v>377</v>
      </c>
      <c r="E18" s="23" t="s">
        <v>401</v>
      </c>
      <c r="F18" s="24" t="s">
        <v>349</v>
      </c>
      <c r="G18" s="23"/>
      <c r="H18" s="23"/>
      <c r="I18" s="25"/>
    </row>
    <row r="19" spans="1:9" ht="19.5" hidden="1" customHeight="1">
      <c r="A19" s="21" t="s">
        <v>231</v>
      </c>
      <c r="B19" s="22" t="s">
        <v>225</v>
      </c>
      <c r="C19" s="23" t="s">
        <v>395</v>
      </c>
      <c r="D19" s="23" t="s">
        <v>109</v>
      </c>
      <c r="E19" s="23" t="s">
        <v>402</v>
      </c>
      <c r="F19" s="26" t="s">
        <v>358</v>
      </c>
      <c r="G19" s="23"/>
      <c r="H19" s="23"/>
      <c r="I19" s="25"/>
    </row>
    <row r="20" spans="1:9" ht="19.5" customHeight="1">
      <c r="A20" s="21" t="s">
        <v>167</v>
      </c>
      <c r="B20" s="22" t="s">
        <v>156</v>
      </c>
      <c r="C20" s="23" t="s">
        <v>397</v>
      </c>
      <c r="D20" s="23" t="s">
        <v>109</v>
      </c>
      <c r="E20" s="23" t="s">
        <v>403</v>
      </c>
      <c r="F20" s="23" t="s">
        <v>404</v>
      </c>
      <c r="G20" s="23"/>
      <c r="H20" s="23"/>
      <c r="I20" s="25"/>
    </row>
    <row r="21" spans="1:9" ht="19.5" customHeight="1">
      <c r="A21" s="21" t="s">
        <v>405</v>
      </c>
      <c r="B21" s="22" t="s">
        <v>214</v>
      </c>
      <c r="C21" s="23" t="s">
        <v>406</v>
      </c>
      <c r="D21" s="23" t="s">
        <v>109</v>
      </c>
      <c r="E21" s="23" t="s">
        <v>407</v>
      </c>
      <c r="F21" s="23" t="s">
        <v>368</v>
      </c>
      <c r="G21" s="23"/>
      <c r="H21" s="23"/>
      <c r="I21" s="25"/>
    </row>
    <row r="22" spans="1:9" ht="19.5" customHeight="1">
      <c r="A22" s="21" t="s">
        <v>408</v>
      </c>
      <c r="B22" s="22" t="s">
        <v>199</v>
      </c>
      <c r="C22" s="23" t="s">
        <v>366</v>
      </c>
      <c r="D22" s="23" t="s">
        <v>356</v>
      </c>
      <c r="E22" s="23" t="s">
        <v>409</v>
      </c>
      <c r="F22" s="23" t="s">
        <v>368</v>
      </c>
      <c r="G22" s="23"/>
      <c r="H22" s="23"/>
      <c r="I22" s="25"/>
    </row>
    <row r="23" spans="1:9" ht="19.5" customHeight="1">
      <c r="A23" s="21" t="s">
        <v>410</v>
      </c>
      <c r="B23" s="22" t="s">
        <v>181</v>
      </c>
      <c r="C23" s="23" t="s">
        <v>366</v>
      </c>
      <c r="D23" s="23" t="s">
        <v>356</v>
      </c>
      <c r="E23" s="23" t="s">
        <v>411</v>
      </c>
      <c r="F23" s="23" t="s">
        <v>368</v>
      </c>
      <c r="G23" s="23"/>
      <c r="H23" s="23"/>
      <c r="I23" s="25"/>
    </row>
    <row r="24" spans="1:9" ht="19.5" customHeight="1">
      <c r="A24" s="21" t="s">
        <v>412</v>
      </c>
      <c r="B24" s="22" t="s">
        <v>106</v>
      </c>
      <c r="C24" s="23" t="s">
        <v>413</v>
      </c>
      <c r="D24" s="23" t="s">
        <v>109</v>
      </c>
      <c r="E24" s="23" t="s">
        <v>414</v>
      </c>
      <c r="F24" s="23" t="s">
        <v>404</v>
      </c>
      <c r="G24" s="23"/>
      <c r="H24" s="23"/>
      <c r="I24" s="25" t="s">
        <v>415</v>
      </c>
    </row>
    <row r="25" spans="1:9" ht="19.5" customHeight="1">
      <c r="A25" s="27"/>
      <c r="B25" s="27"/>
      <c r="C25" s="27"/>
      <c r="D25" s="27"/>
      <c r="E25" s="27"/>
      <c r="F25" s="27"/>
      <c r="G25" s="27"/>
      <c r="H25" s="27"/>
      <c r="I25" s="27"/>
    </row>
    <row r="26" spans="1:9" ht="19.5" customHeight="1">
      <c r="A26" s="27"/>
      <c r="B26" s="27"/>
      <c r="C26" s="27"/>
      <c r="D26" s="27"/>
      <c r="E26" s="27"/>
      <c r="F26" s="27"/>
      <c r="G26" s="27"/>
      <c r="H26" s="27"/>
      <c r="I26" s="27"/>
    </row>
    <row r="27" spans="1:9" ht="19.5" customHeight="1">
      <c r="A27" s="27"/>
      <c r="B27" s="27"/>
      <c r="C27" s="27"/>
      <c r="D27" s="27"/>
      <c r="E27" s="27"/>
      <c r="F27" s="27"/>
      <c r="G27" s="27"/>
      <c r="H27" s="27"/>
      <c r="I27" s="27"/>
    </row>
    <row r="28" spans="1:9" ht="19.5" customHeight="1">
      <c r="A28" s="27"/>
      <c r="B28" s="27"/>
      <c r="C28" s="27"/>
      <c r="D28" s="27"/>
      <c r="E28" s="27"/>
      <c r="F28" s="27"/>
      <c r="G28" s="27"/>
      <c r="H28" s="27"/>
      <c r="I28" s="27"/>
    </row>
    <row r="29" spans="1:9" ht="19.5" customHeight="1">
      <c r="A29" s="27"/>
      <c r="B29" s="27"/>
      <c r="C29" s="27"/>
      <c r="D29" s="27"/>
      <c r="E29" s="27"/>
      <c r="F29" s="27"/>
      <c r="G29" s="27"/>
      <c r="H29" s="27"/>
      <c r="I29" s="27"/>
    </row>
    <row r="30" spans="1:9" ht="19.5" customHeight="1">
      <c r="A30" s="27"/>
      <c r="B30" s="27"/>
      <c r="C30" s="27"/>
      <c r="D30" s="27"/>
      <c r="E30" s="27"/>
      <c r="F30" s="27"/>
      <c r="G30" s="27"/>
      <c r="H30" s="27"/>
      <c r="I30" s="27"/>
    </row>
    <row r="31" spans="1:9" ht="19.5" customHeight="1">
      <c r="A31" s="27"/>
      <c r="B31" s="27"/>
      <c r="C31" s="27"/>
      <c r="D31" s="27"/>
      <c r="E31" s="27"/>
      <c r="F31" s="27"/>
      <c r="G31" s="27"/>
      <c r="H31" s="27"/>
      <c r="I31" s="27"/>
    </row>
    <row r="32" spans="1:9" ht="19.5" customHeight="1">
      <c r="A32" s="27"/>
      <c r="B32" s="27"/>
      <c r="C32" s="27"/>
      <c r="D32" s="27"/>
      <c r="E32" s="27"/>
      <c r="F32" s="27"/>
      <c r="G32" s="27"/>
      <c r="H32" s="27"/>
      <c r="I32" s="27"/>
    </row>
    <row r="33" spans="1:9" ht="19.5" customHeight="1">
      <c r="A33" s="27"/>
      <c r="B33" s="27"/>
      <c r="C33" s="27"/>
      <c r="D33" s="27"/>
      <c r="E33" s="27"/>
      <c r="F33" s="27"/>
      <c r="G33" s="27"/>
      <c r="H33" s="27"/>
      <c r="I33" s="27"/>
    </row>
    <row r="34" spans="1:9" ht="19.5" customHeight="1">
      <c r="A34" s="27"/>
      <c r="B34" s="27"/>
      <c r="C34" s="27"/>
      <c r="D34" s="27"/>
      <c r="E34" s="27"/>
      <c r="F34" s="27"/>
      <c r="G34" s="27"/>
      <c r="H34" s="27"/>
      <c r="I34" s="27"/>
    </row>
    <row r="35" spans="1:9" ht="19.5" customHeight="1">
      <c r="A35" s="27"/>
      <c r="B35" s="27"/>
      <c r="C35" s="27"/>
      <c r="D35" s="27"/>
      <c r="E35" s="27"/>
      <c r="F35" s="27"/>
      <c r="G35" s="27"/>
      <c r="H35" s="27"/>
      <c r="I35" s="27"/>
    </row>
  </sheetData>
  <dataValidations count="2">
    <dataValidation type="list" allowBlank="1" sqref="F2:F74" xr:uid="{00000000-0002-0000-0100-000000000000}">
      <formula1>"Análise,Andamento,Bloqueado,Concluído"</formula1>
      <formula2>0</formula2>
    </dataValidation>
    <dataValidation type="list" allowBlank="1" sqref="D2:D74" xr:uid="{00000000-0002-0000-0100-000001000000}">
      <formula1>"FFC,FatInt,SupCrmImp,Sustentação,Arquitetura"</formula1>
      <formula2>0</formula2>
    </dataValidation>
  </dataValidations>
  <hyperlinks>
    <hyperlink ref="A7" r:id="rId1" display="https://jira.linx.com.br/browse/MODAJOI-101106" xr:uid="{00000000-0004-0000-0100-000000000000}"/>
    <hyperlink ref="B20" r:id="rId2" xr:uid="{00000000-0004-0000-0100-000001000000}"/>
    <hyperlink ref="B21" r:id="rId3" xr:uid="{00000000-0004-0000-0100-000002000000}"/>
    <hyperlink ref="B22" r:id="rId4" xr:uid="{00000000-0004-0000-0100-000003000000}"/>
    <hyperlink ref="B23" r:id="rId5" xr:uid="{00000000-0004-0000-0100-000004000000}"/>
    <hyperlink ref="B24" r:id="rId6" xr:uid="{00000000-0004-0000-0100-000005000000}"/>
  </hyperlinks>
  <pageMargins left="0.75" right="0.75" top="1" bottom="1" header="0.511811023622047" footer="0.511811023622047"/>
  <pageSetup paperSize="9" orientation="portrait" horizontalDpi="300" verticalDpi="300"/>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A29"/>
  <sheetViews>
    <sheetView zoomScaleNormal="100" workbookViewId="0">
      <pane ySplit="1" topLeftCell="A2" activePane="bottomLeft" state="frozen"/>
      <selection pane="bottomLeft"/>
    </sheetView>
  </sheetViews>
  <sheetFormatPr defaultColWidth="8.5703125" defaultRowHeight="15"/>
  <cols>
    <col min="1" max="1" width="14" customWidth="1"/>
    <col min="2" max="2" width="52" customWidth="1"/>
    <col min="3" max="3" width="15" customWidth="1"/>
    <col min="4" max="4" width="13" customWidth="1"/>
    <col min="5" max="7" width="14" customWidth="1"/>
    <col min="8" max="9" width="20" customWidth="1"/>
    <col min="10" max="10" width="13" customWidth="1"/>
    <col min="11" max="11" width="40" customWidth="1"/>
    <col min="12" max="12" width="16" customWidth="1"/>
    <col min="13" max="14" width="18" customWidth="1"/>
    <col min="15" max="15" width="50" customWidth="1"/>
    <col min="16" max="16" width="40" customWidth="1"/>
    <col min="17" max="17" width="22" customWidth="1"/>
    <col min="18" max="18" width="14" customWidth="1"/>
    <col min="19" max="19" width="35" customWidth="1"/>
    <col min="20" max="20" width="20" customWidth="1"/>
    <col min="21" max="21" width="40" customWidth="1"/>
    <col min="22" max="25" width="18" customWidth="1"/>
    <col min="26" max="26" width="32" customWidth="1"/>
    <col min="27" max="27" width="16" customWidth="1"/>
  </cols>
  <sheetData>
    <row r="1" spans="1:27" ht="31.5" customHeight="1">
      <c r="A1" s="28" t="s">
        <v>0</v>
      </c>
      <c r="B1" s="28" t="s">
        <v>1</v>
      </c>
      <c r="C1" s="28" t="s">
        <v>2</v>
      </c>
      <c r="D1" s="28" t="s">
        <v>3</v>
      </c>
      <c r="E1" s="28" t="s">
        <v>4</v>
      </c>
      <c r="F1" s="28" t="s">
        <v>5</v>
      </c>
      <c r="G1" s="28" t="s">
        <v>6</v>
      </c>
      <c r="H1" s="28" t="s">
        <v>7</v>
      </c>
      <c r="I1" s="28" t="s">
        <v>8</v>
      </c>
      <c r="J1" s="28" t="s">
        <v>9</v>
      </c>
      <c r="K1" s="28" t="s">
        <v>10</v>
      </c>
      <c r="L1" s="28" t="s">
        <v>11</v>
      </c>
      <c r="M1" s="28" t="s">
        <v>12</v>
      </c>
      <c r="N1" s="28" t="s">
        <v>13</v>
      </c>
      <c r="O1" s="28" t="s">
        <v>14</v>
      </c>
      <c r="P1" s="28" t="s">
        <v>15</v>
      </c>
      <c r="Q1" s="28" t="s">
        <v>16</v>
      </c>
      <c r="R1" s="28" t="s">
        <v>17</v>
      </c>
      <c r="S1" s="28" t="s">
        <v>18</v>
      </c>
      <c r="T1" s="28" t="s">
        <v>19</v>
      </c>
      <c r="U1" s="28" t="s">
        <v>20</v>
      </c>
      <c r="V1" s="28" t="s">
        <v>21</v>
      </c>
      <c r="W1" s="28" t="s">
        <v>22</v>
      </c>
      <c r="X1" s="28" t="s">
        <v>23</v>
      </c>
      <c r="Y1" s="28" t="s">
        <v>24</v>
      </c>
      <c r="Z1" s="28" t="s">
        <v>25</v>
      </c>
      <c r="AA1" s="28" t="s">
        <v>416</v>
      </c>
    </row>
    <row r="2" spans="1:27" ht="19.5" customHeight="1">
      <c r="A2" s="29" t="s">
        <v>417</v>
      </c>
      <c r="B2" s="30" t="s">
        <v>418</v>
      </c>
      <c r="C2" s="30" t="s">
        <v>30</v>
      </c>
      <c r="D2" s="30" t="s">
        <v>59</v>
      </c>
      <c r="E2" s="31">
        <v>46092</v>
      </c>
      <c r="F2" s="31">
        <v>46092</v>
      </c>
      <c r="G2" s="30">
        <v>0</v>
      </c>
      <c r="H2" s="30" t="s">
        <v>244</v>
      </c>
      <c r="I2" s="30" t="s">
        <v>244</v>
      </c>
      <c r="J2" s="30">
        <v>1</v>
      </c>
      <c r="K2" s="30" t="s">
        <v>418</v>
      </c>
      <c r="L2" s="30" t="s">
        <v>236</v>
      </c>
      <c r="M2" s="30" t="s">
        <v>236</v>
      </c>
      <c r="N2" s="30" t="s">
        <v>64</v>
      </c>
      <c r="O2" s="32" t="s">
        <v>419</v>
      </c>
      <c r="P2" s="30"/>
      <c r="Q2" s="30"/>
      <c r="R2" s="30" t="s">
        <v>44</v>
      </c>
      <c r="S2" s="33" t="s">
        <v>420</v>
      </c>
      <c r="T2" s="30"/>
      <c r="U2" s="30"/>
      <c r="V2" s="30"/>
      <c r="W2" s="30"/>
      <c r="X2" s="30"/>
      <c r="Y2" s="30"/>
      <c r="Z2" s="30"/>
      <c r="AA2" s="31">
        <v>46139</v>
      </c>
    </row>
    <row r="3" spans="1:27" ht="19.5" customHeight="1">
      <c r="A3" s="29" t="s">
        <v>421</v>
      </c>
      <c r="B3" s="30" t="s">
        <v>422</v>
      </c>
      <c r="C3" s="30" t="s">
        <v>30</v>
      </c>
      <c r="D3" s="30" t="s">
        <v>59</v>
      </c>
      <c r="E3" s="31">
        <v>46094</v>
      </c>
      <c r="F3" s="31">
        <v>46104</v>
      </c>
      <c r="G3" s="30">
        <v>10</v>
      </c>
      <c r="H3" s="30" t="s">
        <v>258</v>
      </c>
      <c r="I3" s="30" t="s">
        <v>91</v>
      </c>
      <c r="J3" s="30">
        <v>1</v>
      </c>
      <c r="K3" s="30"/>
      <c r="L3" s="30" t="s">
        <v>35</v>
      </c>
      <c r="M3" s="30" t="s">
        <v>121</v>
      </c>
      <c r="N3" s="30" t="s">
        <v>217</v>
      </c>
      <c r="O3" s="32" t="s">
        <v>423</v>
      </c>
      <c r="P3" s="30" t="s">
        <v>424</v>
      </c>
      <c r="Q3" s="30" t="s">
        <v>55</v>
      </c>
      <c r="R3" s="30" t="s">
        <v>44</v>
      </c>
      <c r="S3" s="30" t="s">
        <v>425</v>
      </c>
      <c r="T3" s="30"/>
      <c r="U3" s="30"/>
      <c r="V3" s="30"/>
      <c r="W3" s="30" t="s">
        <v>126</v>
      </c>
      <c r="X3" s="30" t="s">
        <v>127</v>
      </c>
      <c r="Y3" s="30"/>
      <c r="Z3" s="30"/>
      <c r="AA3" s="31">
        <v>46139</v>
      </c>
    </row>
    <row r="4" spans="1:27" ht="19.5" customHeight="1">
      <c r="A4" s="29" t="s">
        <v>426</v>
      </c>
      <c r="B4" s="30" t="s">
        <v>427</v>
      </c>
      <c r="C4" s="30" t="s">
        <v>30</v>
      </c>
      <c r="D4" s="30" t="s">
        <v>59</v>
      </c>
      <c r="E4" s="31">
        <v>46091</v>
      </c>
      <c r="F4" s="31">
        <v>46093</v>
      </c>
      <c r="G4" s="30">
        <v>2</v>
      </c>
      <c r="H4" s="30" t="s">
        <v>108</v>
      </c>
      <c r="I4" s="30" t="s">
        <v>108</v>
      </c>
      <c r="J4" s="30">
        <v>0</v>
      </c>
      <c r="K4" s="30"/>
      <c r="L4" s="30" t="s">
        <v>62</v>
      </c>
      <c r="M4" s="30"/>
      <c r="N4" s="30" t="s">
        <v>64</v>
      </c>
      <c r="O4" s="32" t="s">
        <v>428</v>
      </c>
      <c r="P4" s="30"/>
      <c r="Q4" s="30"/>
      <c r="R4" s="30" t="s">
        <v>44</v>
      </c>
      <c r="S4" s="33" t="s">
        <v>429</v>
      </c>
      <c r="T4" s="30"/>
      <c r="U4" s="30"/>
      <c r="V4" s="30"/>
      <c r="W4" s="30"/>
      <c r="X4" s="30"/>
      <c r="Y4" s="30"/>
      <c r="Z4" s="30"/>
      <c r="AA4" s="31">
        <v>46139</v>
      </c>
    </row>
    <row r="5" spans="1:27" ht="19.5" customHeight="1">
      <c r="A5" s="29" t="s">
        <v>370</v>
      </c>
      <c r="B5" s="30" t="s">
        <v>430</v>
      </c>
      <c r="C5" s="30" t="s">
        <v>30</v>
      </c>
      <c r="D5" s="30" t="s">
        <v>59</v>
      </c>
      <c r="E5" s="31">
        <v>46084</v>
      </c>
      <c r="F5" s="31">
        <v>46092</v>
      </c>
      <c r="G5" s="30">
        <v>8</v>
      </c>
      <c r="H5" s="30" t="s">
        <v>258</v>
      </c>
      <c r="I5" s="30" t="s">
        <v>51</v>
      </c>
      <c r="J5" s="30">
        <v>9</v>
      </c>
      <c r="K5" s="30" t="s">
        <v>430</v>
      </c>
      <c r="L5" s="30" t="s">
        <v>35</v>
      </c>
      <c r="M5" s="30" t="s">
        <v>121</v>
      </c>
      <c r="N5" s="30" t="s">
        <v>217</v>
      </c>
      <c r="O5" s="32" t="s">
        <v>431</v>
      </c>
      <c r="P5" s="30" t="s">
        <v>432</v>
      </c>
      <c r="Q5" s="30" t="s">
        <v>55</v>
      </c>
      <c r="R5" s="30" t="s">
        <v>44</v>
      </c>
      <c r="S5" s="30" t="s">
        <v>433</v>
      </c>
      <c r="T5" s="30" t="s">
        <v>42</v>
      </c>
      <c r="U5" s="30" t="s">
        <v>434</v>
      </c>
      <c r="V5" s="30" t="s">
        <v>44</v>
      </c>
      <c r="W5" s="30" t="s">
        <v>126</v>
      </c>
      <c r="X5" s="30" t="s">
        <v>127</v>
      </c>
      <c r="Y5" s="30" t="s">
        <v>369</v>
      </c>
      <c r="Z5" s="30" t="s">
        <v>435</v>
      </c>
      <c r="AA5" s="31">
        <v>46139</v>
      </c>
    </row>
    <row r="6" spans="1:27" ht="19.5" customHeight="1">
      <c r="A6" s="29" t="s">
        <v>436</v>
      </c>
      <c r="B6" s="30" t="s">
        <v>437</v>
      </c>
      <c r="C6" s="30" t="s">
        <v>30</v>
      </c>
      <c r="D6" s="30" t="s">
        <v>59</v>
      </c>
      <c r="E6" s="31">
        <v>46074</v>
      </c>
      <c r="F6" s="31">
        <v>46094</v>
      </c>
      <c r="G6" s="30">
        <v>20</v>
      </c>
      <c r="H6" s="30" t="s">
        <v>258</v>
      </c>
      <c r="I6" s="30"/>
      <c r="J6" s="30">
        <v>4</v>
      </c>
      <c r="K6" s="30" t="s">
        <v>437</v>
      </c>
      <c r="L6" s="30" t="s">
        <v>35</v>
      </c>
      <c r="M6" s="30" t="s">
        <v>121</v>
      </c>
      <c r="N6" s="30" t="s">
        <v>149</v>
      </c>
      <c r="O6" s="32" t="s">
        <v>438</v>
      </c>
      <c r="P6" s="30" t="s">
        <v>439</v>
      </c>
      <c r="Q6" s="30" t="s">
        <v>40</v>
      </c>
      <c r="R6" s="30" t="s">
        <v>41</v>
      </c>
      <c r="S6" s="30"/>
      <c r="T6" s="30"/>
      <c r="U6" s="30" t="s">
        <v>440</v>
      </c>
      <c r="V6" s="30" t="s">
        <v>41</v>
      </c>
      <c r="W6" s="30" t="s">
        <v>126</v>
      </c>
      <c r="X6" s="30" t="s">
        <v>127</v>
      </c>
      <c r="Y6" s="30"/>
      <c r="Z6" s="30"/>
      <c r="AA6" s="31">
        <v>46139</v>
      </c>
    </row>
    <row r="7" spans="1:27" ht="19.5" customHeight="1">
      <c r="A7" s="29" t="s">
        <v>441</v>
      </c>
      <c r="B7" s="30" t="s">
        <v>442</v>
      </c>
      <c r="C7" s="30" t="s">
        <v>30</v>
      </c>
      <c r="D7" s="30" t="s">
        <v>192</v>
      </c>
      <c r="E7" s="31">
        <v>46063</v>
      </c>
      <c r="F7" s="31">
        <v>46098</v>
      </c>
      <c r="G7" s="30">
        <v>35</v>
      </c>
      <c r="H7" s="30" t="s">
        <v>120</v>
      </c>
      <c r="I7" s="30" t="s">
        <v>91</v>
      </c>
      <c r="J7" s="30">
        <v>7</v>
      </c>
      <c r="K7" s="30" t="s">
        <v>442</v>
      </c>
      <c r="L7" s="30" t="s">
        <v>35</v>
      </c>
      <c r="M7" s="30" t="s">
        <v>443</v>
      </c>
      <c r="N7" s="30" t="s">
        <v>217</v>
      </c>
      <c r="O7" s="32" t="s">
        <v>444</v>
      </c>
      <c r="P7" s="30" t="s">
        <v>445</v>
      </c>
      <c r="Q7" s="30" t="s">
        <v>55</v>
      </c>
      <c r="R7" s="30" t="s">
        <v>44</v>
      </c>
      <c r="S7" s="30" t="s">
        <v>446</v>
      </c>
      <c r="T7" s="30" t="s">
        <v>42</v>
      </c>
      <c r="U7" s="30" t="s">
        <v>447</v>
      </c>
      <c r="V7" s="30" t="s">
        <v>44</v>
      </c>
      <c r="W7" s="30" t="s">
        <v>126</v>
      </c>
      <c r="X7" s="30" t="s">
        <v>155</v>
      </c>
      <c r="Y7" s="30"/>
      <c r="Z7" s="30" t="s">
        <v>448</v>
      </c>
      <c r="AA7" s="31">
        <v>46139</v>
      </c>
    </row>
    <row r="8" spans="1:27" ht="19.5" customHeight="1">
      <c r="A8" s="29" t="s">
        <v>449</v>
      </c>
      <c r="B8" s="30" t="s">
        <v>450</v>
      </c>
      <c r="C8" s="30" t="s">
        <v>30</v>
      </c>
      <c r="D8" s="30" t="s">
        <v>59</v>
      </c>
      <c r="E8" s="31">
        <v>46078</v>
      </c>
      <c r="F8" s="31">
        <v>46092</v>
      </c>
      <c r="G8" s="30">
        <v>14</v>
      </c>
      <c r="H8" s="30" t="s">
        <v>108</v>
      </c>
      <c r="I8" s="30" t="s">
        <v>81</v>
      </c>
      <c r="J8" s="30">
        <v>1</v>
      </c>
      <c r="K8" s="30"/>
      <c r="L8" s="30" t="s">
        <v>62</v>
      </c>
      <c r="M8" s="30"/>
      <c r="N8" s="30" t="s">
        <v>217</v>
      </c>
      <c r="O8" s="32" t="s">
        <v>451</v>
      </c>
      <c r="P8" s="30"/>
      <c r="Q8" s="30"/>
      <c r="R8" s="30" t="s">
        <v>44</v>
      </c>
      <c r="S8" s="30" t="s">
        <v>452</v>
      </c>
      <c r="T8" s="30"/>
      <c r="U8" s="30"/>
      <c r="V8" s="30"/>
      <c r="W8" s="30"/>
      <c r="X8" s="30"/>
      <c r="Y8" s="30"/>
      <c r="Z8" s="30"/>
      <c r="AA8" s="31">
        <v>46139</v>
      </c>
    </row>
    <row r="9" spans="1:27" ht="19.5" customHeight="1">
      <c r="A9" s="29" t="s">
        <v>453</v>
      </c>
      <c r="B9" s="30" t="s">
        <v>454</v>
      </c>
      <c r="C9" s="30" t="s">
        <v>30</v>
      </c>
      <c r="D9" s="30" t="s">
        <v>59</v>
      </c>
      <c r="E9" s="31">
        <v>46083</v>
      </c>
      <c r="F9" s="31">
        <v>46098</v>
      </c>
      <c r="G9" s="30">
        <v>15</v>
      </c>
      <c r="H9" s="30" t="s">
        <v>120</v>
      </c>
      <c r="I9" s="30" t="s">
        <v>91</v>
      </c>
      <c r="J9" s="30">
        <v>2</v>
      </c>
      <c r="K9" s="30" t="s">
        <v>454</v>
      </c>
      <c r="L9" s="30" t="s">
        <v>35</v>
      </c>
      <c r="M9" s="30" t="s">
        <v>121</v>
      </c>
      <c r="N9" s="30" t="s">
        <v>217</v>
      </c>
      <c r="O9" s="32" t="s">
        <v>455</v>
      </c>
      <c r="P9" s="30"/>
      <c r="Q9" s="30" t="s">
        <v>55</v>
      </c>
      <c r="R9" s="30" t="s">
        <v>41</v>
      </c>
      <c r="S9" s="30"/>
      <c r="T9" s="30" t="s">
        <v>42</v>
      </c>
      <c r="U9" s="30" t="s">
        <v>456</v>
      </c>
      <c r="V9" s="30" t="s">
        <v>44</v>
      </c>
      <c r="W9" s="30" t="s">
        <v>126</v>
      </c>
      <c r="X9" s="30" t="s">
        <v>127</v>
      </c>
      <c r="Y9" s="30"/>
      <c r="Z9" s="30" t="s">
        <v>457</v>
      </c>
      <c r="AA9" s="31">
        <v>46139</v>
      </c>
    </row>
    <row r="10" spans="1:27" ht="19.5" customHeight="1">
      <c r="A10" s="29" t="s">
        <v>458</v>
      </c>
      <c r="B10" s="30" t="s">
        <v>459</v>
      </c>
      <c r="C10" s="30" t="s">
        <v>30</v>
      </c>
      <c r="D10" s="30" t="s">
        <v>59</v>
      </c>
      <c r="E10" s="31">
        <v>46094</v>
      </c>
      <c r="F10" s="31">
        <v>46097</v>
      </c>
      <c r="G10" s="30">
        <v>3</v>
      </c>
      <c r="H10" s="30" t="s">
        <v>137</v>
      </c>
      <c r="I10" s="30"/>
      <c r="J10" s="30">
        <v>1</v>
      </c>
      <c r="K10" s="30" t="s">
        <v>459</v>
      </c>
      <c r="L10" s="30" t="s">
        <v>109</v>
      </c>
      <c r="M10" s="30" t="s">
        <v>138</v>
      </c>
      <c r="N10" s="30" t="s">
        <v>64</v>
      </c>
      <c r="O10" s="32" t="s">
        <v>460</v>
      </c>
      <c r="P10" s="30"/>
      <c r="Q10" s="30"/>
      <c r="R10" s="30" t="s">
        <v>44</v>
      </c>
      <c r="S10" s="33" t="s">
        <v>461</v>
      </c>
      <c r="T10" s="30"/>
      <c r="U10" s="30"/>
      <c r="V10" s="30"/>
      <c r="W10" s="30" t="s">
        <v>116</v>
      </c>
      <c r="X10" s="30" t="s">
        <v>143</v>
      </c>
      <c r="Y10" s="30"/>
      <c r="Z10" s="30"/>
      <c r="AA10" s="31">
        <v>46139</v>
      </c>
    </row>
    <row r="11" spans="1:27" ht="19.5" customHeight="1">
      <c r="A11" s="29" t="s">
        <v>462</v>
      </c>
      <c r="B11" s="30" t="s">
        <v>463</v>
      </c>
      <c r="C11" s="30" t="s">
        <v>30</v>
      </c>
      <c r="D11" s="30" t="s">
        <v>59</v>
      </c>
      <c r="E11" s="31">
        <v>46100</v>
      </c>
      <c r="F11" s="31">
        <v>46100</v>
      </c>
      <c r="G11" s="30">
        <v>0</v>
      </c>
      <c r="H11" s="30" t="s">
        <v>464</v>
      </c>
      <c r="I11" s="30" t="s">
        <v>464</v>
      </c>
      <c r="J11" s="30">
        <v>2</v>
      </c>
      <c r="K11" s="30" t="s">
        <v>463</v>
      </c>
      <c r="L11" s="30" t="s">
        <v>35</v>
      </c>
      <c r="M11" s="30" t="s">
        <v>465</v>
      </c>
      <c r="N11" s="30" t="s">
        <v>217</v>
      </c>
      <c r="O11" s="32" t="s">
        <v>466</v>
      </c>
      <c r="P11" s="30" t="s">
        <v>467</v>
      </c>
      <c r="Q11" s="30" t="s">
        <v>55</v>
      </c>
      <c r="R11" s="30" t="s">
        <v>44</v>
      </c>
      <c r="S11" s="30" t="s">
        <v>468</v>
      </c>
      <c r="T11" s="30"/>
      <c r="U11" s="30"/>
      <c r="V11" s="30" t="s">
        <v>44</v>
      </c>
      <c r="W11" s="30" t="s">
        <v>45</v>
      </c>
      <c r="X11" s="30" t="s">
        <v>469</v>
      </c>
      <c r="Y11" s="30"/>
      <c r="Z11" s="30" t="s">
        <v>470</v>
      </c>
      <c r="AA11" s="31">
        <v>46139</v>
      </c>
    </row>
    <row r="12" spans="1:27" ht="19.5" customHeight="1">
      <c r="A12" s="29" t="s">
        <v>471</v>
      </c>
      <c r="B12" s="30" t="s">
        <v>472</v>
      </c>
      <c r="C12" s="30" t="s">
        <v>30</v>
      </c>
      <c r="D12" s="30" t="s">
        <v>59</v>
      </c>
      <c r="E12" s="31">
        <v>46091</v>
      </c>
      <c r="F12" s="31">
        <v>46092</v>
      </c>
      <c r="G12" s="30">
        <v>1</v>
      </c>
      <c r="H12" s="30" t="s">
        <v>275</v>
      </c>
      <c r="I12" s="30"/>
      <c r="J12" s="30">
        <v>1</v>
      </c>
      <c r="K12" s="30" t="s">
        <v>472</v>
      </c>
      <c r="L12" s="30" t="s">
        <v>109</v>
      </c>
      <c r="M12" s="30" t="s">
        <v>326</v>
      </c>
      <c r="N12" s="30" t="s">
        <v>217</v>
      </c>
      <c r="O12" s="32" t="s">
        <v>473</v>
      </c>
      <c r="P12" s="30"/>
      <c r="Q12" s="30"/>
      <c r="R12" s="30" t="s">
        <v>44</v>
      </c>
      <c r="S12" s="30" t="s">
        <v>474</v>
      </c>
      <c r="T12" s="30"/>
      <c r="U12" s="30"/>
      <c r="V12" s="30"/>
      <c r="W12" s="30" t="s">
        <v>222</v>
      </c>
      <c r="X12" s="30" t="s">
        <v>223</v>
      </c>
      <c r="Y12" s="30"/>
      <c r="Z12" s="30"/>
      <c r="AA12" s="31">
        <v>46139</v>
      </c>
    </row>
    <row r="13" spans="1:27" ht="19.5" customHeight="1">
      <c r="A13" s="29" t="s">
        <v>361</v>
      </c>
      <c r="B13" s="30" t="s">
        <v>475</v>
      </c>
      <c r="C13" s="30" t="s">
        <v>30</v>
      </c>
      <c r="D13" s="30" t="s">
        <v>31</v>
      </c>
      <c r="E13" s="31">
        <v>46081</v>
      </c>
      <c r="F13" s="31">
        <v>46098</v>
      </c>
      <c r="G13" s="30">
        <v>17</v>
      </c>
      <c r="H13" s="30" t="s">
        <v>32</v>
      </c>
      <c r="I13" s="30" t="s">
        <v>91</v>
      </c>
      <c r="J13" s="30">
        <v>9</v>
      </c>
      <c r="K13" s="30" t="s">
        <v>475</v>
      </c>
      <c r="L13" s="30" t="s">
        <v>35</v>
      </c>
      <c r="M13" s="30" t="s">
        <v>121</v>
      </c>
      <c r="N13" s="30" t="s">
        <v>40</v>
      </c>
      <c r="O13" s="32" t="s">
        <v>476</v>
      </c>
      <c r="P13" s="30" t="s">
        <v>477</v>
      </c>
      <c r="Q13" s="30" t="s">
        <v>40</v>
      </c>
      <c r="R13" s="30" t="s">
        <v>44</v>
      </c>
      <c r="S13" s="30" t="s">
        <v>478</v>
      </c>
      <c r="T13" s="30" t="s">
        <v>479</v>
      </c>
      <c r="U13" s="30" t="s">
        <v>478</v>
      </c>
      <c r="V13" s="30" t="s">
        <v>41</v>
      </c>
      <c r="W13" s="30" t="s">
        <v>126</v>
      </c>
      <c r="X13" s="30" t="s">
        <v>127</v>
      </c>
      <c r="Y13" s="30" t="s">
        <v>360</v>
      </c>
      <c r="Z13" s="30" t="s">
        <v>480</v>
      </c>
      <c r="AA13" s="31">
        <v>46139</v>
      </c>
    </row>
    <row r="14" spans="1:27" ht="19.5" customHeight="1">
      <c r="A14" s="29" t="s">
        <v>373</v>
      </c>
      <c r="B14" s="30" t="s">
        <v>481</v>
      </c>
      <c r="C14" s="30" t="s">
        <v>30</v>
      </c>
      <c r="D14" s="30" t="s">
        <v>59</v>
      </c>
      <c r="E14" s="31">
        <v>46086</v>
      </c>
      <c r="F14" s="31">
        <v>46101</v>
      </c>
      <c r="G14" s="30">
        <v>15</v>
      </c>
      <c r="H14" s="30" t="s">
        <v>32</v>
      </c>
      <c r="I14" s="30"/>
      <c r="J14" s="30">
        <v>1</v>
      </c>
      <c r="K14" s="30" t="s">
        <v>481</v>
      </c>
      <c r="L14" s="30" t="s">
        <v>35</v>
      </c>
      <c r="M14" s="30" t="s">
        <v>121</v>
      </c>
      <c r="N14" s="30" t="s">
        <v>40</v>
      </c>
      <c r="O14" s="32" t="s">
        <v>482</v>
      </c>
      <c r="P14" s="30" t="s">
        <v>483</v>
      </c>
      <c r="Q14" s="30" t="s">
        <v>40</v>
      </c>
      <c r="R14" s="30" t="s">
        <v>44</v>
      </c>
      <c r="S14" s="30" t="s">
        <v>484</v>
      </c>
      <c r="T14" s="30" t="s">
        <v>479</v>
      </c>
      <c r="U14" s="30" t="s">
        <v>485</v>
      </c>
      <c r="V14" s="30" t="s">
        <v>44</v>
      </c>
      <c r="W14" s="30"/>
      <c r="X14" s="30"/>
      <c r="Y14" s="30" t="s">
        <v>360</v>
      </c>
      <c r="Z14" s="30"/>
      <c r="AA14" s="31">
        <v>46139</v>
      </c>
    </row>
    <row r="15" spans="1:27" ht="19.5" customHeight="1">
      <c r="A15" s="29" t="s">
        <v>375</v>
      </c>
      <c r="B15" s="30" t="s">
        <v>486</v>
      </c>
      <c r="C15" s="30" t="s">
        <v>30</v>
      </c>
      <c r="D15" s="30" t="s">
        <v>31</v>
      </c>
      <c r="E15" s="31">
        <v>46099</v>
      </c>
      <c r="F15" s="31">
        <v>46104</v>
      </c>
      <c r="G15" s="30">
        <v>5</v>
      </c>
      <c r="H15" s="30" t="s">
        <v>158</v>
      </c>
      <c r="I15" s="30" t="s">
        <v>487</v>
      </c>
      <c r="J15" s="30">
        <v>10</v>
      </c>
      <c r="K15" s="30" t="s">
        <v>486</v>
      </c>
      <c r="L15" s="30" t="s">
        <v>62</v>
      </c>
      <c r="M15" s="30" t="s">
        <v>159</v>
      </c>
      <c r="N15" s="30" t="s">
        <v>488</v>
      </c>
      <c r="O15" s="32" t="s">
        <v>489</v>
      </c>
      <c r="P15" s="30" t="s">
        <v>490</v>
      </c>
      <c r="Q15" s="30" t="s">
        <v>55</v>
      </c>
      <c r="R15" s="30" t="s">
        <v>44</v>
      </c>
      <c r="S15" s="30" t="s">
        <v>491</v>
      </c>
      <c r="T15" s="30"/>
      <c r="U15" s="30" t="s">
        <v>492</v>
      </c>
      <c r="V15" s="30" t="s">
        <v>44</v>
      </c>
      <c r="W15" s="30" t="s">
        <v>165</v>
      </c>
      <c r="X15" s="30" t="s">
        <v>166</v>
      </c>
      <c r="Y15" s="30" t="s">
        <v>374</v>
      </c>
      <c r="Z15" s="30" t="s">
        <v>493</v>
      </c>
      <c r="AA15" s="31">
        <v>46139</v>
      </c>
    </row>
    <row r="16" spans="1:27" ht="19.5" customHeight="1">
      <c r="A16" s="29" t="s">
        <v>494</v>
      </c>
      <c r="B16" s="30" t="s">
        <v>495</v>
      </c>
      <c r="C16" s="30" t="s">
        <v>30</v>
      </c>
      <c r="D16" s="30" t="s">
        <v>59</v>
      </c>
      <c r="E16" s="31">
        <v>46086</v>
      </c>
      <c r="F16" s="31">
        <v>46098</v>
      </c>
      <c r="G16" s="30">
        <v>12</v>
      </c>
      <c r="H16" s="30" t="s">
        <v>175</v>
      </c>
      <c r="I16" s="30" t="s">
        <v>91</v>
      </c>
      <c r="J16" s="30">
        <v>1</v>
      </c>
      <c r="K16" s="30" t="s">
        <v>495</v>
      </c>
      <c r="L16" s="30" t="s">
        <v>109</v>
      </c>
      <c r="M16" s="30" t="s">
        <v>326</v>
      </c>
      <c r="N16" s="30" t="s">
        <v>64</v>
      </c>
      <c r="O16" s="32" t="s">
        <v>496</v>
      </c>
      <c r="P16" s="30"/>
      <c r="Q16" s="30"/>
      <c r="R16" s="30" t="s">
        <v>44</v>
      </c>
      <c r="S16" s="30" t="s">
        <v>497</v>
      </c>
      <c r="T16" s="30"/>
      <c r="U16" s="30"/>
      <c r="V16" s="30"/>
      <c r="W16" s="30" t="s">
        <v>222</v>
      </c>
      <c r="X16" s="30" t="s">
        <v>223</v>
      </c>
      <c r="Y16" s="30"/>
      <c r="Z16" s="30"/>
      <c r="AA16" s="31">
        <v>46139</v>
      </c>
    </row>
    <row r="17" spans="1:27" ht="19.5" customHeight="1">
      <c r="A17" s="29" t="s">
        <v>498</v>
      </c>
      <c r="B17" s="30" t="s">
        <v>499</v>
      </c>
      <c r="C17" s="30" t="s">
        <v>30</v>
      </c>
      <c r="D17" s="30" t="s">
        <v>59</v>
      </c>
      <c r="E17" s="31">
        <v>46086</v>
      </c>
      <c r="F17" s="31">
        <v>46101</v>
      </c>
      <c r="G17" s="30">
        <v>15</v>
      </c>
      <c r="H17" s="30" t="s">
        <v>90</v>
      </c>
      <c r="I17" s="30" t="s">
        <v>91</v>
      </c>
      <c r="J17" s="30">
        <v>5</v>
      </c>
      <c r="K17" s="30" t="s">
        <v>499</v>
      </c>
      <c r="L17" s="30" t="s">
        <v>35</v>
      </c>
      <c r="M17" s="30" t="s">
        <v>121</v>
      </c>
      <c r="N17" s="30" t="s">
        <v>40</v>
      </c>
      <c r="O17" s="32" t="s">
        <v>500</v>
      </c>
      <c r="P17" s="30" t="s">
        <v>501</v>
      </c>
      <c r="Q17" s="30" t="s">
        <v>55</v>
      </c>
      <c r="R17" s="30" t="s">
        <v>44</v>
      </c>
      <c r="S17" s="30" t="s">
        <v>502</v>
      </c>
      <c r="T17" s="30" t="s">
        <v>114</v>
      </c>
      <c r="U17" s="30" t="s">
        <v>503</v>
      </c>
      <c r="V17" s="30" t="s">
        <v>44</v>
      </c>
      <c r="W17" s="30" t="s">
        <v>126</v>
      </c>
      <c r="X17" s="30" t="s">
        <v>127</v>
      </c>
      <c r="Y17" s="30"/>
      <c r="Z17" s="30" t="s">
        <v>504</v>
      </c>
      <c r="AA17" s="31">
        <v>46139</v>
      </c>
    </row>
    <row r="18" spans="1:27" ht="19.5" customHeight="1">
      <c r="A18" s="29" t="s">
        <v>505</v>
      </c>
      <c r="B18" s="30" t="s">
        <v>506</v>
      </c>
      <c r="C18" s="30" t="s">
        <v>30</v>
      </c>
      <c r="D18" s="30" t="s">
        <v>31</v>
      </c>
      <c r="E18" s="31">
        <v>46101</v>
      </c>
      <c r="F18" s="31">
        <v>46104</v>
      </c>
      <c r="G18" s="30">
        <v>3</v>
      </c>
      <c r="H18" s="30" t="s">
        <v>244</v>
      </c>
      <c r="I18" s="30" t="s">
        <v>244</v>
      </c>
      <c r="J18" s="30">
        <v>6</v>
      </c>
      <c r="K18" s="30" t="s">
        <v>506</v>
      </c>
      <c r="L18" s="30" t="s">
        <v>109</v>
      </c>
      <c r="M18" s="30" t="s">
        <v>326</v>
      </c>
      <c r="N18" s="30" t="s">
        <v>217</v>
      </c>
      <c r="O18" s="32" t="s">
        <v>507</v>
      </c>
      <c r="P18" s="30" t="s">
        <v>508</v>
      </c>
      <c r="Q18" s="30" t="s">
        <v>55</v>
      </c>
      <c r="R18" s="30" t="s">
        <v>44</v>
      </c>
      <c r="S18" s="30" t="s">
        <v>509</v>
      </c>
      <c r="T18" s="30"/>
      <c r="U18" s="30" t="s">
        <v>510</v>
      </c>
      <c r="V18" s="30" t="s">
        <v>44</v>
      </c>
      <c r="W18" s="30"/>
      <c r="X18" s="30"/>
      <c r="Y18" s="30"/>
      <c r="Z18" s="30" t="s">
        <v>511</v>
      </c>
      <c r="AA18" s="31">
        <v>46139</v>
      </c>
    </row>
    <row r="19" spans="1:27" ht="19.5" customHeight="1">
      <c r="A19" s="29" t="s">
        <v>512</v>
      </c>
      <c r="B19" s="30" t="s">
        <v>513</v>
      </c>
      <c r="C19" s="30" t="s">
        <v>30</v>
      </c>
      <c r="D19" s="30" t="s">
        <v>59</v>
      </c>
      <c r="E19" s="31">
        <v>46085</v>
      </c>
      <c r="F19" s="31">
        <v>46094</v>
      </c>
      <c r="G19" s="30">
        <v>9</v>
      </c>
      <c r="H19" s="30" t="s">
        <v>208</v>
      </c>
      <c r="I19" s="30" t="s">
        <v>208</v>
      </c>
      <c r="J19" s="30">
        <v>0</v>
      </c>
      <c r="K19" s="30" t="s">
        <v>514</v>
      </c>
      <c r="L19" s="30" t="s">
        <v>236</v>
      </c>
      <c r="M19" s="30" t="s">
        <v>236</v>
      </c>
      <c r="N19" s="30" t="s">
        <v>52</v>
      </c>
      <c r="O19" s="32" t="s">
        <v>515</v>
      </c>
      <c r="P19" s="30"/>
      <c r="Q19" s="30"/>
      <c r="R19" s="30" t="s">
        <v>44</v>
      </c>
      <c r="S19" s="30" t="s">
        <v>516</v>
      </c>
      <c r="T19" s="30"/>
      <c r="U19" s="30"/>
      <c r="V19" s="30"/>
      <c r="W19" s="30"/>
      <c r="X19" s="30"/>
      <c r="Y19" s="30"/>
      <c r="Z19" s="30"/>
      <c r="AA19" s="31">
        <v>46139</v>
      </c>
    </row>
    <row r="20" spans="1:27" ht="19.5" customHeight="1">
      <c r="A20" s="29" t="s">
        <v>351</v>
      </c>
      <c r="B20" s="30" t="s">
        <v>517</v>
      </c>
      <c r="C20" s="30" t="s">
        <v>30</v>
      </c>
      <c r="D20" s="30" t="s">
        <v>59</v>
      </c>
      <c r="E20" s="31">
        <v>46092</v>
      </c>
      <c r="F20" s="31">
        <v>46098</v>
      </c>
      <c r="G20" s="30">
        <v>6</v>
      </c>
      <c r="H20" s="30" t="s">
        <v>90</v>
      </c>
      <c r="I20" s="30" t="s">
        <v>91</v>
      </c>
      <c r="J20" s="30">
        <v>1</v>
      </c>
      <c r="K20" s="30" t="s">
        <v>517</v>
      </c>
      <c r="L20" s="30" t="s">
        <v>35</v>
      </c>
      <c r="M20" s="30" t="s">
        <v>121</v>
      </c>
      <c r="N20" s="30" t="s">
        <v>217</v>
      </c>
      <c r="O20" s="32" t="s">
        <v>518</v>
      </c>
      <c r="P20" s="30" t="s">
        <v>519</v>
      </c>
      <c r="Q20" s="30" t="s">
        <v>55</v>
      </c>
      <c r="R20" s="30" t="s">
        <v>41</v>
      </c>
      <c r="S20" s="30"/>
      <c r="T20" s="30" t="s">
        <v>42</v>
      </c>
      <c r="U20" s="30" t="s">
        <v>520</v>
      </c>
      <c r="V20" s="30" t="s">
        <v>44</v>
      </c>
      <c r="W20" s="30" t="s">
        <v>126</v>
      </c>
      <c r="X20" s="30" t="s">
        <v>127</v>
      </c>
      <c r="Y20" s="30" t="s">
        <v>350</v>
      </c>
      <c r="Z20" s="30" t="s">
        <v>521</v>
      </c>
      <c r="AA20" s="31">
        <v>46139</v>
      </c>
    </row>
    <row r="21" spans="1:27" ht="19.5" customHeight="1">
      <c r="A21" s="29" t="s">
        <v>522</v>
      </c>
      <c r="B21" s="30" t="s">
        <v>523</v>
      </c>
      <c r="C21" s="30" t="s">
        <v>30</v>
      </c>
      <c r="D21" s="30" t="s">
        <v>59</v>
      </c>
      <c r="E21" s="31">
        <v>46093</v>
      </c>
      <c r="F21" s="31">
        <v>46093</v>
      </c>
      <c r="G21" s="30">
        <v>0</v>
      </c>
      <c r="H21" s="30" t="s">
        <v>208</v>
      </c>
      <c r="I21" s="30" t="s">
        <v>208</v>
      </c>
      <c r="J21" s="30">
        <v>1</v>
      </c>
      <c r="K21" s="30" t="s">
        <v>523</v>
      </c>
      <c r="L21" s="30" t="s">
        <v>109</v>
      </c>
      <c r="M21" s="30" t="s">
        <v>326</v>
      </c>
      <c r="N21" s="30" t="s">
        <v>64</v>
      </c>
      <c r="O21" s="32" t="s">
        <v>524</v>
      </c>
      <c r="P21" s="30"/>
      <c r="Q21" s="30"/>
      <c r="R21" s="30" t="s">
        <v>44</v>
      </c>
      <c r="S21" s="30" t="s">
        <v>525</v>
      </c>
      <c r="T21" s="30"/>
      <c r="U21" s="30"/>
      <c r="V21" s="30"/>
      <c r="W21" s="30" t="s">
        <v>222</v>
      </c>
      <c r="X21" s="30" t="s">
        <v>223</v>
      </c>
      <c r="Y21" s="30"/>
      <c r="Z21" s="30"/>
      <c r="AA21" s="31">
        <v>46139</v>
      </c>
    </row>
    <row r="22" spans="1:27" ht="19.5" customHeight="1">
      <c r="A22" s="29" t="s">
        <v>526</v>
      </c>
      <c r="B22" s="30" t="s">
        <v>527</v>
      </c>
      <c r="C22" s="30" t="s">
        <v>30</v>
      </c>
      <c r="D22" s="30" t="s">
        <v>31</v>
      </c>
      <c r="E22" s="31">
        <v>46094</v>
      </c>
      <c r="F22" s="31">
        <v>46098</v>
      </c>
      <c r="G22" s="30">
        <v>4</v>
      </c>
      <c r="H22" s="30" t="s">
        <v>80</v>
      </c>
      <c r="I22" s="30" t="s">
        <v>80</v>
      </c>
      <c r="J22" s="30">
        <v>5</v>
      </c>
      <c r="K22" s="30" t="s">
        <v>527</v>
      </c>
      <c r="L22" s="30" t="s">
        <v>62</v>
      </c>
      <c r="M22" s="30" t="s">
        <v>528</v>
      </c>
      <c r="N22" s="30" t="s">
        <v>529</v>
      </c>
      <c r="O22" s="32" t="s">
        <v>530</v>
      </c>
      <c r="P22" s="30" t="s">
        <v>531</v>
      </c>
      <c r="Q22" s="30" t="s">
        <v>55</v>
      </c>
      <c r="R22" s="30" t="s">
        <v>44</v>
      </c>
      <c r="S22" s="30" t="s">
        <v>532</v>
      </c>
      <c r="T22" s="30" t="s">
        <v>114</v>
      </c>
      <c r="U22" s="30" t="s">
        <v>533</v>
      </c>
      <c r="V22" s="30" t="s">
        <v>44</v>
      </c>
      <c r="W22" s="30" t="s">
        <v>309</v>
      </c>
      <c r="X22" s="30" t="s">
        <v>310</v>
      </c>
      <c r="Y22" s="30"/>
      <c r="Z22" s="30" t="s">
        <v>534</v>
      </c>
      <c r="AA22" s="31">
        <v>46139</v>
      </c>
    </row>
    <row r="23" spans="1:27" ht="19.5" customHeight="1">
      <c r="A23" s="29" t="s">
        <v>535</v>
      </c>
      <c r="B23" s="30" t="s">
        <v>536</v>
      </c>
      <c r="C23" s="30" t="s">
        <v>30</v>
      </c>
      <c r="D23" s="30" t="s">
        <v>59</v>
      </c>
      <c r="E23" s="31">
        <v>46098</v>
      </c>
      <c r="F23" s="31">
        <v>46099</v>
      </c>
      <c r="G23" s="30">
        <v>1</v>
      </c>
      <c r="H23" s="30" t="s">
        <v>275</v>
      </c>
      <c r="I23" s="30"/>
      <c r="J23" s="30">
        <v>1</v>
      </c>
      <c r="K23" s="30" t="s">
        <v>536</v>
      </c>
      <c r="L23" s="30"/>
      <c r="M23" s="30"/>
      <c r="N23" s="30" t="s">
        <v>64</v>
      </c>
      <c r="O23" s="32" t="s">
        <v>537</v>
      </c>
      <c r="P23" s="30" t="s">
        <v>538</v>
      </c>
      <c r="Q23" s="30"/>
      <c r="R23" s="30" t="s">
        <v>44</v>
      </c>
      <c r="S23" s="33" t="s">
        <v>539</v>
      </c>
      <c r="T23" s="30"/>
      <c r="U23" s="30"/>
      <c r="V23" s="30" t="s">
        <v>44</v>
      </c>
      <c r="W23" s="30"/>
      <c r="X23" s="30"/>
      <c r="Y23" s="30"/>
      <c r="Z23" s="30" t="s">
        <v>540</v>
      </c>
      <c r="AA23" s="31">
        <v>46139</v>
      </c>
    </row>
    <row r="24" spans="1:27" ht="19.5" customHeight="1">
      <c r="A24" s="29" t="s">
        <v>354</v>
      </c>
      <c r="B24" s="30" t="s">
        <v>541</v>
      </c>
      <c r="C24" s="30" t="s">
        <v>30</v>
      </c>
      <c r="D24" s="30" t="s">
        <v>59</v>
      </c>
      <c r="E24" s="31">
        <v>46087</v>
      </c>
      <c r="F24" s="31">
        <v>46098</v>
      </c>
      <c r="G24" s="30">
        <v>11</v>
      </c>
      <c r="H24" s="30" t="s">
        <v>120</v>
      </c>
      <c r="I24" s="30"/>
      <c r="J24" s="30">
        <v>1</v>
      </c>
      <c r="K24" s="30" t="s">
        <v>541</v>
      </c>
      <c r="L24" s="30" t="s">
        <v>35</v>
      </c>
      <c r="M24" s="30" t="s">
        <v>36</v>
      </c>
      <c r="N24" s="30" t="s">
        <v>72</v>
      </c>
      <c r="O24" s="32" t="s">
        <v>542</v>
      </c>
      <c r="P24" s="30" t="s">
        <v>543</v>
      </c>
      <c r="Q24" s="30" t="s">
        <v>64</v>
      </c>
      <c r="R24" s="30" t="s">
        <v>41</v>
      </c>
      <c r="S24" s="30"/>
      <c r="T24" s="30" t="s">
        <v>42</v>
      </c>
      <c r="U24" s="30"/>
      <c r="V24" s="30"/>
      <c r="W24" s="30" t="s">
        <v>126</v>
      </c>
      <c r="X24" s="30" t="s">
        <v>127</v>
      </c>
      <c r="Y24" s="30" t="s">
        <v>353</v>
      </c>
      <c r="Z24" s="30" t="s">
        <v>544</v>
      </c>
      <c r="AA24" s="31">
        <v>46139</v>
      </c>
    </row>
    <row r="25" spans="1:27" ht="19.5" customHeight="1">
      <c r="A25" s="29" t="s">
        <v>381</v>
      </c>
      <c r="B25" s="30" t="s">
        <v>545</v>
      </c>
      <c r="C25" s="30" t="s">
        <v>30</v>
      </c>
      <c r="D25" s="30" t="s">
        <v>192</v>
      </c>
      <c r="E25" s="31">
        <v>46099</v>
      </c>
      <c r="F25" s="31">
        <v>46101</v>
      </c>
      <c r="G25" s="30">
        <v>2</v>
      </c>
      <c r="H25" s="30" t="s">
        <v>208</v>
      </c>
      <c r="I25" s="30" t="s">
        <v>183</v>
      </c>
      <c r="J25" s="30">
        <v>14</v>
      </c>
      <c r="K25" s="30" t="s">
        <v>545</v>
      </c>
      <c r="L25" s="30" t="s">
        <v>109</v>
      </c>
      <c r="M25" s="30" t="s">
        <v>326</v>
      </c>
      <c r="N25" s="30" t="s">
        <v>217</v>
      </c>
      <c r="O25" s="32" t="s">
        <v>546</v>
      </c>
      <c r="P25" s="30" t="s">
        <v>547</v>
      </c>
      <c r="Q25" s="30" t="s">
        <v>55</v>
      </c>
      <c r="R25" s="30" t="s">
        <v>44</v>
      </c>
      <c r="S25" s="30" t="s">
        <v>548</v>
      </c>
      <c r="T25" s="30"/>
      <c r="U25" s="33" t="s">
        <v>549</v>
      </c>
      <c r="V25" s="30" t="s">
        <v>44</v>
      </c>
      <c r="W25" s="30" t="s">
        <v>222</v>
      </c>
      <c r="X25" s="30" t="s">
        <v>223</v>
      </c>
      <c r="Y25" s="30">
        <v>240301</v>
      </c>
      <c r="Z25" s="30" t="s">
        <v>550</v>
      </c>
      <c r="AA25" s="31">
        <v>46139</v>
      </c>
    </row>
    <row r="26" spans="1:27" ht="19.5" customHeight="1">
      <c r="A26" s="29" t="s">
        <v>346</v>
      </c>
      <c r="B26" s="30" t="s">
        <v>551</v>
      </c>
      <c r="C26" s="30" t="s">
        <v>30</v>
      </c>
      <c r="D26" s="30" t="s">
        <v>59</v>
      </c>
      <c r="E26" s="31">
        <v>46086</v>
      </c>
      <c r="F26" s="31">
        <v>46098</v>
      </c>
      <c r="G26" s="30">
        <v>12</v>
      </c>
      <c r="H26" s="30" t="s">
        <v>90</v>
      </c>
      <c r="I26" s="30" t="s">
        <v>91</v>
      </c>
      <c r="J26" s="30">
        <v>1</v>
      </c>
      <c r="K26" s="30" t="s">
        <v>551</v>
      </c>
      <c r="L26" s="30" t="s">
        <v>35</v>
      </c>
      <c r="M26" s="30" t="s">
        <v>121</v>
      </c>
      <c r="N26" s="30" t="s">
        <v>217</v>
      </c>
      <c r="O26" s="32" t="s">
        <v>552</v>
      </c>
      <c r="P26" s="30" t="s">
        <v>553</v>
      </c>
      <c r="Q26" s="30" t="s">
        <v>55</v>
      </c>
      <c r="R26" s="30" t="s">
        <v>41</v>
      </c>
      <c r="S26" s="30"/>
      <c r="T26" s="30" t="s">
        <v>42</v>
      </c>
      <c r="U26" s="30" t="s">
        <v>554</v>
      </c>
      <c r="V26" s="30" t="s">
        <v>44</v>
      </c>
      <c r="W26" s="30" t="s">
        <v>126</v>
      </c>
      <c r="X26" s="30" t="s">
        <v>127</v>
      </c>
      <c r="Y26" s="30" t="s">
        <v>345</v>
      </c>
      <c r="Z26" s="30" t="s">
        <v>555</v>
      </c>
      <c r="AA26" s="31">
        <v>46139</v>
      </c>
    </row>
    <row r="27" spans="1:27" ht="19.5" customHeight="1">
      <c r="A27" s="29" t="s">
        <v>365</v>
      </c>
      <c r="B27" s="30" t="s">
        <v>556</v>
      </c>
      <c r="C27" s="30" t="s">
        <v>30</v>
      </c>
      <c r="D27" s="30" t="s">
        <v>31</v>
      </c>
      <c r="E27" s="31">
        <v>46093</v>
      </c>
      <c r="F27" s="31">
        <v>46098</v>
      </c>
      <c r="G27" s="30">
        <v>5</v>
      </c>
      <c r="H27" s="30" t="s">
        <v>90</v>
      </c>
      <c r="I27" s="30" t="s">
        <v>183</v>
      </c>
      <c r="J27" s="30">
        <v>27</v>
      </c>
      <c r="K27" s="30" t="s">
        <v>556</v>
      </c>
      <c r="L27" s="30" t="s">
        <v>35</v>
      </c>
      <c r="M27" s="30" t="s">
        <v>121</v>
      </c>
      <c r="N27" s="30" t="s">
        <v>217</v>
      </c>
      <c r="O27" s="32" t="s">
        <v>557</v>
      </c>
      <c r="P27" s="30" t="s">
        <v>558</v>
      </c>
      <c r="Q27" s="30" t="s">
        <v>55</v>
      </c>
      <c r="R27" s="30" t="s">
        <v>41</v>
      </c>
      <c r="S27" s="30"/>
      <c r="T27" s="30" t="s">
        <v>42</v>
      </c>
      <c r="U27" s="30" t="s">
        <v>559</v>
      </c>
      <c r="V27" s="30" t="s">
        <v>44</v>
      </c>
      <c r="W27" s="30" t="s">
        <v>126</v>
      </c>
      <c r="X27" s="30" t="s">
        <v>127</v>
      </c>
      <c r="Y27" s="30" t="s">
        <v>364</v>
      </c>
      <c r="Z27" s="30" t="s">
        <v>560</v>
      </c>
      <c r="AA27" s="31">
        <v>46139</v>
      </c>
    </row>
    <row r="29" spans="1:27">
      <c r="A29" s="38" t="s">
        <v>561</v>
      </c>
      <c r="B29" s="38"/>
      <c r="C29" s="38"/>
      <c r="D29" s="38"/>
      <c r="E29" s="38"/>
      <c r="F29" s="38"/>
      <c r="G29" s="38"/>
      <c r="H29" s="38"/>
      <c r="I29" s="38"/>
      <c r="J29" s="38"/>
      <c r="K29" s="38"/>
      <c r="L29" s="38"/>
      <c r="M29" s="38"/>
      <c r="N29" s="38"/>
      <c r="O29" s="38"/>
      <c r="P29" s="38"/>
      <c r="Q29" s="38"/>
      <c r="R29" s="38"/>
      <c r="S29" s="38"/>
      <c r="T29" s="38"/>
      <c r="U29" s="38"/>
      <c r="V29" s="38"/>
      <c r="W29" s="38"/>
      <c r="X29" s="38"/>
      <c r="Y29" s="38"/>
      <c r="Z29" s="38"/>
      <c r="AA29" s="38"/>
    </row>
  </sheetData>
  <mergeCells count="1">
    <mergeCell ref="A29:AA29"/>
  </mergeCells>
  <pageMargins left="0.75" right="0.75" top="1" bottom="1" header="0.511811023622047" footer="0.511811023622047"/>
  <pageSetup paperSize="9" orientation="portrait" horizontalDpi="300" verticalDpi="300"/>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5"/>
  <sheetViews>
    <sheetView zoomScaleNormal="100" workbookViewId="0">
      <pane ySplit="1" topLeftCell="A2" activePane="bottomLeft" state="frozen"/>
      <selection pane="bottomLeft"/>
    </sheetView>
  </sheetViews>
  <sheetFormatPr defaultColWidth="8.5703125" defaultRowHeight="15"/>
  <cols>
    <col min="1" max="1" width="18" customWidth="1"/>
    <col min="2" max="6" width="22" customWidth="1"/>
  </cols>
  <sheetData>
    <row r="1" spans="1:6" ht="31.5" customHeight="1">
      <c r="A1" s="20" t="s">
        <v>11</v>
      </c>
      <c r="B1" s="20" t="s">
        <v>12</v>
      </c>
      <c r="C1" s="20" t="s">
        <v>22</v>
      </c>
      <c r="D1" s="20" t="s">
        <v>562</v>
      </c>
      <c r="E1" s="20" t="s">
        <v>23</v>
      </c>
      <c r="F1" s="20" t="s">
        <v>563</v>
      </c>
    </row>
    <row r="2" spans="1:6" ht="15" customHeight="1">
      <c r="A2" s="34" t="s">
        <v>62</v>
      </c>
      <c r="B2" s="34" t="s">
        <v>159</v>
      </c>
      <c r="C2" s="34" t="s">
        <v>165</v>
      </c>
      <c r="D2" s="34" t="s">
        <v>309</v>
      </c>
      <c r="E2" s="34" t="s">
        <v>166</v>
      </c>
      <c r="F2" s="34" t="s">
        <v>60</v>
      </c>
    </row>
    <row r="3" spans="1:6" ht="15" customHeight="1">
      <c r="A3" s="35" t="s">
        <v>62</v>
      </c>
      <c r="B3" s="35" t="s">
        <v>63</v>
      </c>
      <c r="C3" s="35" t="s">
        <v>61</v>
      </c>
      <c r="D3" s="35" t="s">
        <v>309</v>
      </c>
      <c r="E3" s="35" t="s">
        <v>60</v>
      </c>
      <c r="F3" s="35" t="s">
        <v>564</v>
      </c>
    </row>
    <row r="4" spans="1:6" ht="15" customHeight="1">
      <c r="A4" s="34" t="s">
        <v>62</v>
      </c>
      <c r="B4" s="34" t="s">
        <v>528</v>
      </c>
      <c r="C4" s="34" t="s">
        <v>309</v>
      </c>
      <c r="D4" s="34" t="s">
        <v>165</v>
      </c>
      <c r="E4" s="34" t="s">
        <v>310</v>
      </c>
      <c r="F4" s="34" t="s">
        <v>565</v>
      </c>
    </row>
    <row r="5" spans="1:6" ht="15" customHeight="1">
      <c r="A5" s="35" t="s">
        <v>109</v>
      </c>
      <c r="B5" s="35" t="s">
        <v>110</v>
      </c>
      <c r="C5" s="35" t="s">
        <v>116</v>
      </c>
      <c r="D5" s="35"/>
      <c r="E5" s="35"/>
      <c r="F5" s="35"/>
    </row>
    <row r="6" spans="1:6" ht="15" customHeight="1">
      <c r="A6" s="34" t="s">
        <v>109</v>
      </c>
      <c r="B6" s="34" t="s">
        <v>138</v>
      </c>
      <c r="C6" s="34" t="s">
        <v>116</v>
      </c>
      <c r="D6" s="34"/>
      <c r="E6" s="34" t="s">
        <v>143</v>
      </c>
      <c r="F6" s="34"/>
    </row>
    <row r="7" spans="1:6" ht="15" customHeight="1">
      <c r="A7" s="35" t="s">
        <v>109</v>
      </c>
      <c r="B7" s="35" t="s">
        <v>326</v>
      </c>
      <c r="C7" s="35" t="s">
        <v>222</v>
      </c>
      <c r="D7" s="35"/>
      <c r="E7" s="35" t="s">
        <v>223</v>
      </c>
      <c r="F7" s="35"/>
    </row>
    <row r="8" spans="1:6" ht="15" customHeight="1">
      <c r="A8" s="34" t="s">
        <v>109</v>
      </c>
      <c r="B8" s="34" t="s">
        <v>566</v>
      </c>
      <c r="C8" s="34" t="s">
        <v>222</v>
      </c>
      <c r="D8" s="34"/>
      <c r="E8" s="34" t="s">
        <v>223</v>
      </c>
      <c r="F8" s="34"/>
    </row>
    <row r="9" spans="1:6" ht="15" customHeight="1">
      <c r="A9" s="35" t="s">
        <v>109</v>
      </c>
      <c r="B9" s="35" t="s">
        <v>567</v>
      </c>
      <c r="C9" s="35" t="s">
        <v>222</v>
      </c>
      <c r="D9" s="35"/>
      <c r="E9" s="35" t="s">
        <v>223</v>
      </c>
      <c r="F9" s="35"/>
    </row>
    <row r="10" spans="1:6" ht="15" customHeight="1">
      <c r="A10" s="34" t="s">
        <v>35</v>
      </c>
      <c r="B10" s="34" t="s">
        <v>36</v>
      </c>
      <c r="C10" s="34" t="s">
        <v>45</v>
      </c>
      <c r="D10" s="34" t="s">
        <v>126</v>
      </c>
      <c r="E10" s="34" t="s">
        <v>46</v>
      </c>
      <c r="F10" s="34"/>
    </row>
    <row r="11" spans="1:6" ht="15" customHeight="1">
      <c r="A11" s="35" t="s">
        <v>35</v>
      </c>
      <c r="B11" s="35" t="s">
        <v>121</v>
      </c>
      <c r="C11" s="35" t="s">
        <v>126</v>
      </c>
      <c r="D11" s="35" t="s">
        <v>45</v>
      </c>
      <c r="E11" s="35" t="s">
        <v>127</v>
      </c>
      <c r="F11" s="35"/>
    </row>
    <row r="12" spans="1:6" ht="15" customHeight="1">
      <c r="A12" s="34" t="s">
        <v>35</v>
      </c>
      <c r="B12" s="34" t="s">
        <v>184</v>
      </c>
      <c r="C12" s="34" t="s">
        <v>154</v>
      </c>
      <c r="D12" s="34" t="s">
        <v>126</v>
      </c>
      <c r="E12" s="34" t="s">
        <v>46</v>
      </c>
      <c r="F12" s="34" t="s">
        <v>87</v>
      </c>
    </row>
    <row r="13" spans="1:6" ht="15" customHeight="1">
      <c r="A13" s="35" t="s">
        <v>35</v>
      </c>
      <c r="B13" s="35" t="s">
        <v>568</v>
      </c>
      <c r="C13" s="35" t="s">
        <v>126</v>
      </c>
      <c r="D13" s="35" t="s">
        <v>154</v>
      </c>
      <c r="E13" s="35" t="s">
        <v>127</v>
      </c>
      <c r="F13" s="35" t="s">
        <v>469</v>
      </c>
    </row>
    <row r="14" spans="1:6" ht="15" customHeight="1">
      <c r="A14" s="34" t="s">
        <v>35</v>
      </c>
      <c r="B14" s="34" t="s">
        <v>92</v>
      </c>
      <c r="C14" s="34" t="s">
        <v>45</v>
      </c>
      <c r="D14" s="34"/>
      <c r="E14" s="34" t="s">
        <v>96</v>
      </c>
      <c r="F14" s="34" t="s">
        <v>46</v>
      </c>
    </row>
    <row r="15" spans="1:6" ht="15" customHeight="1">
      <c r="A15" s="35" t="s">
        <v>35</v>
      </c>
      <c r="B15" s="35" t="s">
        <v>569</v>
      </c>
      <c r="C15" s="35" t="s">
        <v>45</v>
      </c>
      <c r="D15" s="35" t="s">
        <v>126</v>
      </c>
      <c r="E15" s="35" t="s">
        <v>570</v>
      </c>
      <c r="F15" s="35"/>
    </row>
    <row r="16" spans="1:6" ht="15" customHeight="1">
      <c r="A16" s="34" t="s">
        <v>35</v>
      </c>
      <c r="B16" s="34" t="s">
        <v>465</v>
      </c>
      <c r="C16" s="34" t="s">
        <v>45</v>
      </c>
      <c r="D16" s="34" t="s">
        <v>154</v>
      </c>
      <c r="E16" s="34" t="s">
        <v>469</v>
      </c>
      <c r="F16" s="34"/>
    </row>
    <row r="17" spans="1:6" ht="15" customHeight="1">
      <c r="A17" s="35" t="s">
        <v>35</v>
      </c>
      <c r="B17" s="35" t="s">
        <v>571</v>
      </c>
      <c r="C17" s="35" t="s">
        <v>154</v>
      </c>
      <c r="D17" s="35"/>
      <c r="E17" s="35" t="s">
        <v>198</v>
      </c>
      <c r="F17" s="35" t="s">
        <v>570</v>
      </c>
    </row>
    <row r="18" spans="1:6" ht="15" customHeight="1">
      <c r="A18" s="34" t="s">
        <v>35</v>
      </c>
      <c r="B18" s="34" t="s">
        <v>259</v>
      </c>
      <c r="C18" s="34" t="s">
        <v>126</v>
      </c>
      <c r="D18" s="34" t="s">
        <v>154</v>
      </c>
      <c r="E18" s="34" t="s">
        <v>198</v>
      </c>
      <c r="F18" s="34"/>
    </row>
    <row r="19" spans="1:6" ht="15" customHeight="1">
      <c r="A19" s="35" t="s">
        <v>35</v>
      </c>
      <c r="B19" s="35" t="s">
        <v>82</v>
      </c>
      <c r="C19" s="35" t="s">
        <v>45</v>
      </c>
      <c r="D19" s="35" t="s">
        <v>126</v>
      </c>
      <c r="E19" s="35" t="s">
        <v>87</v>
      </c>
      <c r="F19" s="35"/>
    </row>
    <row r="20" spans="1:6" ht="15" customHeight="1">
      <c r="A20" s="34" t="s">
        <v>35</v>
      </c>
      <c r="B20" s="34" t="s">
        <v>572</v>
      </c>
      <c r="C20" s="34" t="s">
        <v>154</v>
      </c>
      <c r="D20" s="34"/>
      <c r="E20" s="34" t="s">
        <v>570</v>
      </c>
      <c r="F20" s="34"/>
    </row>
    <row r="21" spans="1:6" ht="15" customHeight="1">
      <c r="A21" s="35" t="s">
        <v>35</v>
      </c>
      <c r="B21" s="35" t="s">
        <v>573</v>
      </c>
      <c r="C21" s="35" t="s">
        <v>126</v>
      </c>
      <c r="D21" s="35" t="s">
        <v>45</v>
      </c>
      <c r="E21" s="35" t="s">
        <v>469</v>
      </c>
      <c r="F21" s="35"/>
    </row>
    <row r="22" spans="1:6" ht="15" customHeight="1">
      <c r="A22" s="34" t="s">
        <v>35</v>
      </c>
      <c r="B22" s="34" t="s">
        <v>443</v>
      </c>
      <c r="C22" s="34" t="s">
        <v>126</v>
      </c>
      <c r="D22" s="34"/>
      <c r="E22" s="34" t="s">
        <v>155</v>
      </c>
      <c r="F22" s="34"/>
    </row>
    <row r="23" spans="1:6" ht="15" customHeight="1">
      <c r="A23" s="35" t="s">
        <v>35</v>
      </c>
      <c r="B23" s="35" t="s">
        <v>149</v>
      </c>
      <c r="C23" s="35" t="s">
        <v>154</v>
      </c>
      <c r="D23" s="35" t="s">
        <v>45</v>
      </c>
      <c r="E23" s="35" t="s">
        <v>155</v>
      </c>
      <c r="F23" s="35"/>
    </row>
    <row r="25" spans="1:6" ht="15" customHeight="1">
      <c r="A25" s="38" t="s">
        <v>574</v>
      </c>
      <c r="B25" s="38"/>
      <c r="C25" s="38"/>
      <c r="D25" s="38"/>
      <c r="E25" s="38"/>
      <c r="F25" s="38"/>
    </row>
  </sheetData>
  <mergeCells count="1">
    <mergeCell ref="A25:F25"/>
  </mergeCells>
  <pageMargins left="0.75" right="0.75" top="1" bottom="1" header="0.511811023622047" footer="0.511811023622047"/>
  <pageSetup paperSize="9" orientation="portrait" horizontalDpi="300" verticalDpi="300"/>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RCA Pocket</dc:title>
  <dc:subject/>
  <dc:creator>openpyxl</dc:creator>
  <cp:keywords/>
  <dc:description>Gerado em 27/04/2026 13:39</dc:description>
  <cp:lastModifiedBy/>
  <cp:revision>30</cp:revision>
  <dcterms:created xsi:type="dcterms:W3CDTF">2026-04-20T15:42:53Z</dcterms:created>
  <dcterms:modified xsi:type="dcterms:W3CDTF">2026-05-04T17:07:41Z</dcterms:modified>
  <cp:category/>
  <cp:contentStatus/>
</cp:coreProperties>
</file>