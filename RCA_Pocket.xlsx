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dos" sheetId="1" state="visible" r:id="rId1"/>
    <sheet xmlns:r="http://schemas.openxmlformats.org/officeDocument/2006/relationships" name="🗂️ Acompanhamento Issue" sheetId="2" state="visible" r:id="rId2"/>
    <sheet xmlns:r="http://schemas.openxmlformats.org/officeDocument/2006/relationships" name="📦 Arquivo" sheetId="3" state="visible" r:id="rId3"/>
    <sheet xmlns:r="http://schemas.openxmlformats.org/officeDocument/2006/relationships" name="👥 Responsáve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9C0006"/>
      <sz val="9"/>
    </font>
    <font>
      <b val="1"/>
      <color rgb="000563C1"/>
      <sz val="9"/>
      <u val="single"/>
    </font>
    <font>
      <b val="1"/>
      <color rgb="009C6500"/>
      <sz val="9"/>
    </font>
    <font>
      <i val="1"/>
      <color rgb="00888888"/>
      <sz val="8"/>
    </font>
    <font>
      <color rgb="000563C1"/>
      <sz val="9"/>
      <u val="single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546A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E8EAED"/>
      </patternFill>
    </fill>
    <fill>
      <patternFill patternType="solid">
        <fgColor rgb="FFEBF1DE"/>
      </patternFill>
    </fill>
    <fill>
      <patternFill patternType="solid">
        <fgColor rgb="FFEFF6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F600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165" fontId="2" fillId="7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2" fillId="7" borderId="1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0" fillId="0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13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Dados" displayName="TabelaDados" ref="A1:AB27" headerRowCount="1">
  <autoFilter ref="A1:AB27"/>
  <tableColumns count="28">
    <tableColumn id="1" name="Key"/>
    <tableColumn id="2" name="Resumo"/>
    <tableColumn id="3" name="Status Jira"/>
    <tableColumn id="4" name="Prioridade"/>
    <tableColumn id="5" name="Data Criação"/>
    <tableColumn id="6" name="Data Resolução"/>
    <tableColumn id="7" name="Dias p/ Resolver"/>
    <tableColumn id="8" name="DeV Responsável pelo Bug"/>
    <tableColumn id="9" name="QA Responsável pelo Bug"/>
    <tableColumn id="10" name="Qtd Vínculos"/>
    <tableColumn id="11" name="Causa Raiz"/>
    <tableColumn id="12" name="Time"/>
    <tableColumn id="13" name="Área"/>
    <tableColumn id="14" name="Tipo Erro (Auto)"/>
    <tableColumn id="15" name="Ação Realizada no Bug"/>
    <tableColumn id="16" name="Análise da Causa"/>
    <tableColumn id="17" name="Tipo de Ajuste"/>
    <tableColumn id="18" name="Possui TA"/>
    <tableColumn id="19" name="Arquivo TA"/>
    <tableColumn id="20" name="Resultado da Automação"/>
    <tableColumn id="21" name="Contexto"/>
    <tableColumn id="22" name="Problema Resolvido?"/>
    <tableColumn id="23" name="QA Principal"/>
    <tableColumn id="24" name="Dev Principal"/>
    <tableColumn id="25" name="Issue de Acompanhamento"/>
    <tableColumn id="26" name="Plano Ação/Lição Aprendida"/>
    <tableColumn id="27" name="Analisado"/>
    <tableColumn id="28" name="Data Filtr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Acompanhamento" displayName="TabelaAcompanhamento" ref="A1:I10" headerRowCount="1">
  <autoFilter ref="A1:I10"/>
  <tableColumns count="9">
    <tableColumn id="1" name="Issue Acompanhamento"/>
    <tableColumn id="2" name="Issue Original"/>
    <tableColumn id="3" name="Responsável"/>
    <tableColumn id="4" name="Área"/>
    <tableColumn id="5" name="Ação"/>
    <tableColumn id="6" name="Status da Ação"/>
    <tableColumn id="7" name="Data Limite"/>
    <tableColumn id="8" name="Data Conclusão"/>
    <tableColumn id="9" name="Observaçã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elaResponsaveis" displayName="TabelaResponsaveis" ref="A1:F23" headerRowCount="1">
  <autoFilter ref="A1:F23"/>
  <tableColumns count="6">
    <tableColumn id="1" name="Time"/>
    <tableColumn id="2" name="Área"/>
    <tableColumn id="3" name="QA Principal"/>
    <tableColumn id="4" name="QA Secundário"/>
    <tableColumn id="5" name="Dev Principal"/>
    <tableColumn id="6" name="Dev Secundá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ira.linx.com.br/browse/MODAJOI-100934" TargetMode="External" Id="rId1"/><Relationship Type="http://schemas.openxmlformats.org/officeDocument/2006/relationships/hyperlink" Target="https://jira.linx.com.br/browse/MODAJOI-100979" TargetMode="External" Id="rId2"/><Relationship Type="http://schemas.openxmlformats.org/officeDocument/2006/relationships/hyperlink" Target="https://jira.linx.com.br/browse/MODAJOI-101067" TargetMode="External" Id="rId3"/><Relationship Type="http://schemas.openxmlformats.org/officeDocument/2006/relationships/hyperlink" Target="https://jira.linx.com.br/browse/MODAJOI-100733" TargetMode="External" Id="rId4"/><Relationship Type="http://schemas.openxmlformats.org/officeDocument/2006/relationships/hyperlink" Target="https://jira.linx.com.br/browse/MODAJOI-100388" TargetMode="External" Id="rId5"/><Relationship Type="http://schemas.openxmlformats.org/officeDocument/2006/relationships/hyperlink" Target="https://jira.linx.com.br/browse/MODAJOI-101005" TargetMode="External" Id="rId6"/><Relationship Type="http://schemas.openxmlformats.org/officeDocument/2006/relationships/hyperlink" Target="https://jira.linx.com.br/browse/MODAJOI-100867" TargetMode="External" Id="rId7"/><Relationship Type="http://schemas.openxmlformats.org/officeDocument/2006/relationships/hyperlink" Target="https://jira.linx.com.br/browse/MODAJOI-100396" TargetMode="External" Id="rId8"/><Relationship Type="http://schemas.openxmlformats.org/officeDocument/2006/relationships/hyperlink" Target="https://jira.linx.com.br/browse/MODAJOI-100761" TargetMode="External" Id="rId9"/><Relationship Type="http://schemas.openxmlformats.org/officeDocument/2006/relationships/hyperlink" Target="https://jira.linx.com.br/browse/MODAJOI-100652" TargetMode="External" Id="rId10"/><Relationship Type="http://schemas.openxmlformats.org/officeDocument/2006/relationships/hyperlink" Target="https://jira.linx.com.br/browse/MODAJOI-100187" TargetMode="External" Id="rId11"/><Relationship Type="http://schemas.openxmlformats.org/officeDocument/2006/relationships/hyperlink" Target="https://jira.linx.com.br/browse/MODAJOI-99532" TargetMode="External" Id="rId12"/><Relationship Type="http://schemas.openxmlformats.org/officeDocument/2006/relationships/hyperlink" Target="https://jira.linx.com.br/browse/MODAJOI-100251" TargetMode="External" Id="rId13"/><Relationship Type="http://schemas.openxmlformats.org/officeDocument/2006/relationships/hyperlink" Target="https://jira.linx.com.br/browse/MODAJOI-100393" TargetMode="External" Id="rId14"/><Relationship Type="http://schemas.openxmlformats.org/officeDocument/2006/relationships/hyperlink" Target="https://jira.linx.com.br/browse/MODAJOI-100578" TargetMode="External" Id="rId15"/><Relationship Type="http://schemas.openxmlformats.org/officeDocument/2006/relationships/hyperlink" Target="https://jira.linx.com.br/browse/MODAJOI-100461" TargetMode="External" Id="rId16"/><Relationship Type="http://schemas.openxmlformats.org/officeDocument/2006/relationships/hyperlink" Target="https://jira.linx.com.br/browse/MODAJOI-100418" TargetMode="External" Id="rId17"/><Relationship Type="http://schemas.openxmlformats.org/officeDocument/2006/relationships/table" Target="/xl/tables/table1.xm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jira.linx.com.br/browse/MODAJOI-100934" TargetMode="External" Id="rId1"/><Relationship Type="http://schemas.openxmlformats.org/officeDocument/2006/relationships/hyperlink" Target="https://jira.linx.com.br/browse/MODAJOI-100979" TargetMode="External" Id="rId2"/><Relationship Type="http://schemas.openxmlformats.org/officeDocument/2006/relationships/hyperlink" Target="https://jira.linx.com.br/browse/MODAJOI-100396" TargetMode="External" Id="rId3"/><Relationship Type="http://schemas.openxmlformats.org/officeDocument/2006/relationships/hyperlink" Target="https://jira.linx.com.br/browse/MODAJOI-100652" TargetMode="External" Id="rId4"/><Relationship Type="http://schemas.openxmlformats.org/officeDocument/2006/relationships/hyperlink" Target="https://jira.linx.com.br/browse/MODAJOI-100187" TargetMode="External" Id="rId5"/><Relationship Type="http://schemas.openxmlformats.org/officeDocument/2006/relationships/hyperlink" Target="https://jira.linx.com.br/browse/MODAJOI-100578" TargetMode="External" Id="rId6"/><Relationship Type="http://schemas.openxmlformats.org/officeDocument/2006/relationships/hyperlink" Target="https://jira.linx.com.br/browse/MODAJOI-100461" TargetMode="External" Id="rId7"/><Relationship Type="http://schemas.openxmlformats.org/officeDocument/2006/relationships/hyperlink" Target="https://jira.linx.com.br/browse/MODAJOI-100418" TargetMode="External" Id="rId8"/><Relationship Type="http://schemas.openxmlformats.org/officeDocument/2006/relationships/table" Target="/xl/tables/table2.xml" Id="rId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2" customWidth="1" min="2" max="2"/>
    <col width="15" customWidth="1" min="3" max="3"/>
    <col width="13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3" customWidth="1" min="10" max="10"/>
    <col width="40" customWidth="1" min="11" max="11"/>
    <col width="16" customWidth="1" min="12" max="12"/>
    <col width="18" customWidth="1" min="13" max="13"/>
    <col width="18" customWidth="1" min="14" max="14"/>
    <col width="50" customWidth="1" min="15" max="15"/>
    <col width="40" customWidth="1" min="16" max="16"/>
    <col width="22" customWidth="1" min="17" max="17"/>
    <col width="14" customWidth="1" min="18" max="18"/>
    <col width="35" customWidth="1" min="19" max="19"/>
    <col width="20" customWidth="1" min="20" max="20"/>
    <col width="40" customWidth="1" min="21" max="21"/>
    <col width="18" customWidth="1" min="22" max="22"/>
    <col width="18" customWidth="1" min="23" max="23"/>
    <col width="18" customWidth="1" min="24" max="24"/>
    <col width="18" customWidth="1" min="25" max="25"/>
    <col width="32" customWidth="1" min="26" max="26"/>
    <col width="14" customWidth="1" min="27" max="27"/>
    <col width="14" customWidth="1" min="28" max="28"/>
  </cols>
  <sheetData>
    <row r="1" ht="36" customHeight="1">
      <c r="A1" s="1" t="inlineStr">
        <is>
          <t>Key</t>
        </is>
      </c>
      <c r="B1" s="1" t="inlineStr">
        <is>
          <t>Resumo</t>
        </is>
      </c>
      <c r="C1" s="1" t="inlineStr">
        <is>
          <t>Status Jira</t>
        </is>
      </c>
      <c r="D1" s="1" t="inlineStr">
        <is>
          <t>Prioridade</t>
        </is>
      </c>
      <c r="E1" s="1" t="inlineStr">
        <is>
          <t>Data Criação</t>
        </is>
      </c>
      <c r="F1" s="1" t="inlineStr">
        <is>
          <t>Data Resolução</t>
        </is>
      </c>
      <c r="G1" s="1" t="inlineStr">
        <is>
          <t>Dias p/ Resolver</t>
        </is>
      </c>
      <c r="H1" s="1" t="inlineStr">
        <is>
          <t>DeV Responsável pelo Bug</t>
        </is>
      </c>
      <c r="I1" s="1" t="inlineStr">
        <is>
          <t>QA Responsável pelo Bug</t>
        </is>
      </c>
      <c r="J1" s="1" t="inlineStr">
        <is>
          <t>Qtd Vínculos</t>
        </is>
      </c>
      <c r="K1" s="1" t="inlineStr">
        <is>
          <t>Causa Raiz</t>
        </is>
      </c>
      <c r="L1" s="2" t="inlineStr">
        <is>
          <t>Time</t>
        </is>
      </c>
      <c r="M1" s="2" t="inlineStr">
        <is>
          <t>Área</t>
        </is>
      </c>
      <c r="N1" s="2" t="inlineStr">
        <is>
          <t>Tipo Erro (Auto)</t>
        </is>
      </c>
      <c r="O1" s="2" t="inlineStr">
        <is>
          <t>Ação Realizada no Bug</t>
        </is>
      </c>
      <c r="P1" s="3" t="inlineStr">
        <is>
          <t>Análise da Causa</t>
        </is>
      </c>
      <c r="Q1" s="3" t="inlineStr">
        <is>
          <t>Tipo de Ajuste</t>
        </is>
      </c>
      <c r="R1" s="3" t="inlineStr">
        <is>
          <t>Possui TA</t>
        </is>
      </c>
      <c r="S1" s="3" t="inlineStr">
        <is>
          <t>Arquivo TA</t>
        </is>
      </c>
      <c r="T1" s="3" t="inlineStr">
        <is>
          <t>Resultado da Automação</t>
        </is>
      </c>
      <c r="U1" s="3" t="inlineStr">
        <is>
          <t>Contexto</t>
        </is>
      </c>
      <c r="V1" s="3" t="inlineStr">
        <is>
          <t>Problema Resolvido?</t>
        </is>
      </c>
      <c r="W1" s="3" t="inlineStr">
        <is>
          <t>QA Principal</t>
        </is>
      </c>
      <c r="X1" s="3" t="inlineStr">
        <is>
          <t>Dev Principal</t>
        </is>
      </c>
      <c r="Y1" s="3" t="inlineStr">
        <is>
          <t>Issue de Acompanhamento</t>
        </is>
      </c>
      <c r="Z1" s="3" t="inlineStr">
        <is>
          <t>Plano Ação/Lição Aprendida</t>
        </is>
      </c>
      <c r="AA1" s="3" t="inlineStr">
        <is>
          <t>Analisado</t>
        </is>
      </c>
      <c r="AB1" s="3" t="inlineStr">
        <is>
          <t>Data Filtragem</t>
        </is>
      </c>
    </row>
    <row r="2" ht="40" customHeight="1">
      <c r="A2" s="4" t="inlineStr">
        <is>
          <t>MODAJOI-100934</t>
        </is>
      </c>
      <c r="B2" s="5" t="inlineStr">
        <is>
          <t>Cliente relata que ao tentar emitir nota substitutiva é apresentada mensagem que não é permitido alterar o destinatário para CNPJ em NF-e substitutiva.</t>
        </is>
      </c>
      <c r="C2" s="5" t="inlineStr">
        <is>
          <t>Concluída</t>
        </is>
      </c>
      <c r="D2" s="5" t="inlineStr">
        <is>
          <t>P3 - Baixo</t>
        </is>
      </c>
      <c r="E2" s="6" t="n">
        <v>46099</v>
      </c>
      <c r="F2" s="6" t="n">
        <v>46101</v>
      </c>
      <c r="G2" s="5" t="n">
        <v>2</v>
      </c>
      <c r="H2" s="5" t="inlineStr">
        <is>
          <t>Anderson Petry</t>
        </is>
      </c>
      <c r="I2" s="5" t="inlineStr">
        <is>
          <t>Altimara Wrobel Carneiro Schmitz</t>
        </is>
      </c>
      <c r="J2" s="7" t="n">
        <v>14</v>
      </c>
      <c r="K2" s="5" t="inlineStr">
        <is>
          <t>Cliente relata que ao tentar emitir nota substitutiva é apresentada mensagem que não é permitido alterar o destinatário para CNPJ em NF-e substitutiva.</t>
        </is>
      </c>
      <c r="L2" s="8" t="inlineStr">
        <is>
          <t>FFC</t>
        </is>
      </c>
      <c r="M2" s="8" t="inlineStr">
        <is>
          <t>NF-e</t>
        </is>
      </c>
      <c r="N2" s="8" t="inlineStr">
        <is>
          <t>Correção Código</t>
        </is>
      </c>
      <c r="O2" s="9" t="inlineStr">
        <is>
          <t>[Alteração no código] removido bloqueio.</t>
        </is>
      </c>
      <c r="P2" s="10" t="inlineStr">
        <is>
          <t>Ajuste apenas em RC. Alteração d Regra fiscal impactou (somente RC). A postergação do prazo para permissão de alteração do Cliente em NFCe acabou impactando e causando o erro na nota substitutiva.</t>
        </is>
      </c>
      <c r="Q2" s="10" t="inlineStr">
        <is>
          <t>Código</t>
        </is>
      </c>
      <c r="R2" s="10" t="inlineStr">
        <is>
          <t>Não</t>
        </is>
      </c>
      <c r="S2" s="10" t="n"/>
      <c r="T2" s="10" t="n"/>
      <c r="U2" s="10" t="inlineStr">
        <is>
          <t>A Alteração de bloquear a nota de substituição foi feita sem consultar o time de Fiscal.
TA – Existe apenas para PF.</t>
        </is>
      </c>
      <c r="V2" s="10" t="inlineStr">
        <is>
          <t>Sim</t>
        </is>
      </c>
      <c r="W2" s="10" t="inlineStr">
        <is>
          <t>Flavia Doge</t>
        </is>
      </c>
      <c r="X2" s="10" t="inlineStr">
        <is>
          <t>Jean Carlos</t>
        </is>
      </c>
      <c r="Y2" s="10" t="n">
        <v>240301</v>
      </c>
      <c r="Z2" s="10" t="inlineStr">
        <is>
          <t>Questões de Legislação, o melhor é consultar o time Fiscal para validar a regra de negócio.</t>
        </is>
      </c>
      <c r="AA2" s="11" t="inlineStr">
        <is>
          <t>Sim</t>
        </is>
      </c>
      <c r="AB2" s="12" t="n">
        <v>46104</v>
      </c>
    </row>
    <row r="3" ht="40" customHeight="1">
      <c r="A3" s="4" t="inlineStr">
        <is>
          <t>MODAJOI-100979</t>
        </is>
      </c>
      <c r="B3" s="5" t="inlineStr">
        <is>
          <t>Entrada XML/Entrada CTe: Apresenta erro/não carrega ao usar usuario franqueador ==================================</t>
        </is>
      </c>
      <c r="C3" s="5" t="inlineStr">
        <is>
          <t>Concluída</t>
        </is>
      </c>
      <c r="D3" s="5" t="inlineStr">
        <is>
          <t>P2 - Médio</t>
        </is>
      </c>
      <c r="E3" s="6" t="n">
        <v>46099</v>
      </c>
      <c r="F3" s="6" t="n">
        <v>46104</v>
      </c>
      <c r="G3" s="5" t="n">
        <v>5</v>
      </c>
      <c r="H3" s="5" t="inlineStr">
        <is>
          <t>Fabio Elias Alves Vaz</t>
        </is>
      </c>
      <c r="I3" s="5" t="inlineStr">
        <is>
          <t>Marcilio De Aguiar Meireles</t>
        </is>
      </c>
      <c r="J3" s="7" t="n">
        <v>10</v>
      </c>
      <c r="K3" s="5" t="inlineStr">
        <is>
          <t>Entrada XML/Entrada CTe: Apresenta erro/não carrega ao usar usuario franqueador ==================================</t>
        </is>
      </c>
      <c r="L3" s="8" t="inlineStr">
        <is>
          <t>Suprimentos</t>
        </is>
      </c>
      <c r="M3" s="8" t="inlineStr">
        <is>
          <t>Entrada XML</t>
        </is>
      </c>
      <c r="N3" s="8" t="inlineStr">
        <is>
          <t>Migração AKS</t>
        </is>
      </c>
      <c r="O3" s="9" t="inlineStr">
        <is>
          <t>[Alteração no código] Alterado para que seja possível passar por parâmetro, de forma opcional, o id do portal. Se não passar, usa a sessão, mantendo compatibilidade.</t>
        </is>
      </c>
      <c r="P3" s="10" t="inlineStr">
        <is>
          <t>Erro específico, da migração AKS Fiscal, para usuário Supervisor/Administrador. No portal testado não possuía usuário Supervisor e por esse motivo o bug ocorreu.</t>
        </is>
      </c>
      <c r="Q3" s="10" t="inlineStr">
        <is>
          <t>Código</t>
        </is>
      </c>
      <c r="R3" s="10" t="inlineStr">
        <is>
          <t>Não</t>
        </is>
      </c>
      <c r="S3" s="10" t="n"/>
      <c r="T3" s="10" t="n"/>
      <c r="U3" s="10" t="inlineStr">
        <is>
          <t>Para usuário ADM/Supervisor não temos cenários de TA</t>
        </is>
      </c>
      <c r="V3" s="10" t="inlineStr">
        <is>
          <t>Sim</t>
        </is>
      </c>
      <c r="W3" s="10" t="inlineStr">
        <is>
          <t>Jenifer Lopes</t>
        </is>
      </c>
      <c r="X3" s="10" t="inlineStr">
        <is>
          <t>Vinícius Souza Martins</t>
        </is>
      </c>
      <c r="Y3" s="10" t="n">
        <v>240302</v>
      </c>
      <c r="Z3" s="10" t="inlineStr">
        <is>
          <t>Testar também com usuário Supervisor/ADM de rede</t>
        </is>
      </c>
      <c r="AA3" s="11" t="inlineStr">
        <is>
          <t>Sim</t>
        </is>
      </c>
      <c r="AB3" s="12" t="n">
        <v>46104</v>
      </c>
    </row>
    <row r="4" ht="40" customHeight="1">
      <c r="A4" s="4" t="inlineStr">
        <is>
          <t>MODAJOI-101067</t>
        </is>
      </c>
      <c r="B4" s="5" t="inlineStr">
        <is>
          <t>mensagem 'Ocorreu um erro inesperado, por favor contate o suporte técnico' ao tentar gerar um relatório, no exportação de dados</t>
        </is>
      </c>
      <c r="C4" s="5" t="inlineStr">
        <is>
          <t>Concluída</t>
        </is>
      </c>
      <c r="D4" s="5" t="inlineStr">
        <is>
          <t>P2 - Médio</t>
        </is>
      </c>
      <c r="E4" s="6" t="n">
        <v>46101</v>
      </c>
      <c r="F4" s="6" t="n">
        <v>46104</v>
      </c>
      <c r="G4" s="5" t="n">
        <v>3</v>
      </c>
      <c r="H4" s="5" t="inlineStr">
        <is>
          <t>Nelson Campagnaro Junior</t>
        </is>
      </c>
      <c r="I4" s="5" t="inlineStr">
        <is>
          <t>Nelson Campagnaro Junior</t>
        </is>
      </c>
      <c r="J4" s="7" t="n">
        <v>6</v>
      </c>
      <c r="K4" s="5" t="inlineStr">
        <is>
          <t>mensagem 'Ocorreu um erro inesperado, por favor contate o suporte técnico' ao tentar gerar um relatório, no exportação de dados</t>
        </is>
      </c>
      <c r="L4" s="8" t="inlineStr">
        <is>
          <t>FFC</t>
        </is>
      </c>
      <c r="M4" s="8" t="inlineStr">
        <is>
          <t>NF-e</t>
        </is>
      </c>
      <c r="N4" s="8" t="inlineStr">
        <is>
          <t>Correção Código</t>
        </is>
      </c>
      <c r="O4" s="9" t="inlineStr">
        <is>
          <t>Concluído.</t>
        </is>
      </c>
      <c r="P4" s="10" t="inlineStr">
        <is>
          <t>A correção do bug MODAJOI-101005 acabou impactando nesse caso, onde a exportação era feita utilizando a referência.</t>
        </is>
      </c>
      <c r="Q4" s="10" t="inlineStr">
        <is>
          <t>Código</t>
        </is>
      </c>
      <c r="R4" s="10" t="inlineStr">
        <is>
          <t>Não</t>
        </is>
      </c>
      <c r="S4" s="10" t="n"/>
      <c r="T4" s="10" t="n"/>
      <c r="U4" s="10" t="inlineStr">
        <is>
          <t>Como foi aberto como emergencial, esse caso não passou por QA e o teste só seria pego se fosse realizado em homologação.</t>
        </is>
      </c>
      <c r="V4" s="10" t="inlineStr">
        <is>
          <t>Sim</t>
        </is>
      </c>
      <c r="W4" s="10" t="n"/>
      <c r="X4" s="10" t="n"/>
      <c r="Y4" s="10" t="n"/>
      <c r="Z4" s="10" t="inlineStr">
        <is>
          <t>Buscar os testes antes de liberar a demanda e repassar por um QA para validar correção.</t>
        </is>
      </c>
      <c r="AA4" s="11" t="inlineStr">
        <is>
          <t>Sim</t>
        </is>
      </c>
      <c r="AB4" s="12" t="n">
        <v>46104</v>
      </c>
    </row>
    <row r="5" ht="40" customHeight="1">
      <c r="A5" s="4" t="inlineStr">
        <is>
          <t>MODAJOI-100733</t>
        </is>
      </c>
      <c r="B5" s="5" t="inlineStr">
        <is>
          <t>Sugestão de compras - Não abre a tela para gerar o pedido =================================</t>
        </is>
      </c>
      <c r="C5" s="5" t="inlineStr">
        <is>
          <t>Concluída</t>
        </is>
      </c>
      <c r="D5" s="5" t="inlineStr">
        <is>
          <t>P2 - Médio</t>
        </is>
      </c>
      <c r="E5" s="6" t="n">
        <v>46094</v>
      </c>
      <c r="F5" s="6" t="n">
        <v>46098</v>
      </c>
      <c r="G5" s="5" t="n">
        <v>4</v>
      </c>
      <c r="H5" s="5" t="inlineStr">
        <is>
          <t>Júlia Inácio Capanema</t>
        </is>
      </c>
      <c r="I5" s="5" t="inlineStr">
        <is>
          <t>Júlia Inácio Capanema</t>
        </is>
      </c>
      <c r="J5" s="7" t="n">
        <v>5</v>
      </c>
      <c r="K5" s="5" t="inlineStr">
        <is>
          <t>Sugestão de compras - Não abre a tela para gerar o pedido =================================</t>
        </is>
      </c>
      <c r="L5" s="8" t="inlineStr">
        <is>
          <t>Suprimentos</t>
        </is>
      </c>
      <c r="M5" s="8" t="inlineStr">
        <is>
          <t>Compras 2.0</t>
        </is>
      </c>
      <c r="N5" s="8" t="inlineStr">
        <is>
          <t>Merge</t>
        </is>
      </c>
      <c r="O5" s="9" t="inlineStr">
        <is>
          <t>Verificado que o erro foi corrigido através do BUG interno MODAJOI-100676 GitCommit: https://github.com/MEDIUM-RETAIL-MICROVIX/suprimentos/commit/fa0890f5acf6c6f37638d28750db457682afad68 GitBranch: hotfix/MODAJOI-100676 GitRepository: suprimentos Liberação irá ocorrer hoje 16/03/2026 no ambiente de RC.</t>
        </is>
      </c>
      <c r="P5" s="10" t="inlineStr">
        <is>
          <t>Foi causado por um ajuste onde o merge acabou transportando o código de forma incorreta, por nbão gerar nenhum conflito.</t>
        </is>
      </c>
      <c r="Q5" s="10" t="inlineStr">
        <is>
          <t>Código</t>
        </is>
      </c>
      <c r="R5" s="10" t="inlineStr">
        <is>
          <t>Sim</t>
        </is>
      </c>
      <c r="S5" s="10" t="inlineStr">
        <is>
          <t>CD07-Sugestao de Compras Novo - Emitir Pedido Uma empresa
CD08-Sugestao de Compras Novo - Emitir Pedido Varias empresas - Um Pedido para Cada Empresa
CD09-Sugestao de Compras Novo - Emitir Pedido Varias empresas - Um Pedido para Todas as Empresas
(+2 mais)</t>
        </is>
      </c>
      <c r="T5" s="10" t="inlineStr">
        <is>
          <t>Não detectou</t>
        </is>
      </c>
      <c r="U5" s="10" t="inlineStr">
        <is>
          <t>Para o TA validar a situação, ele teria que selecionar todas as colunas para que o erro ficasse visível. Seria necessário adicionar a validação dos registros listados no TA existente.</t>
        </is>
      </c>
      <c r="V5" s="10" t="inlineStr">
        <is>
          <t>Sim</t>
        </is>
      </c>
      <c r="W5" s="10" t="inlineStr">
        <is>
          <t>Guilherme Rocha</t>
        </is>
      </c>
      <c r="X5" s="10" t="inlineStr">
        <is>
          <t>Rafael Flecha</t>
        </is>
      </c>
      <c r="Y5" s="10" t="n"/>
      <c r="Z5" s="10" t="inlineStr">
        <is>
          <t>Ter o cenário de Sugestão de Compra – ao menos um cenário prioritário – na esteira rápida para garantir que problemas assim não volte a ocorrer.</t>
        </is>
      </c>
      <c r="AA5" s="11" t="inlineStr">
        <is>
          <t>Sim</t>
        </is>
      </c>
      <c r="AB5" s="12" t="n">
        <v>46104</v>
      </c>
    </row>
    <row r="6" ht="40" customHeight="1">
      <c r="A6" s="4" t="inlineStr">
        <is>
          <t>MODAJOI-100388</t>
        </is>
      </c>
      <c r="B6" s="5" t="inlineStr">
        <is>
          <t>Cliente relata que ao tentar emitir vendas com CST 51, no Venda Fácil, é retornada a Rejeição 929: Informado CST de diferimento sem as informações de diferimento.</t>
        </is>
      </c>
      <c r="C6" s="5" t="inlineStr">
        <is>
          <t>Concluída</t>
        </is>
      </c>
      <c r="D6" s="5" t="inlineStr">
        <is>
          <t>P1 - Alto</t>
        </is>
      </c>
      <c r="E6" s="6" t="n">
        <v>46086</v>
      </c>
      <c r="F6" s="6" t="n">
        <v>46101</v>
      </c>
      <c r="G6" s="5" t="n">
        <v>15</v>
      </c>
      <c r="H6" s="5" t="inlineStr">
        <is>
          <t>Kassia Mabily Fraga Souza</t>
        </is>
      </c>
      <c r="I6" s="5" t="inlineStr">
        <is>
          <t>Déborah Brenda Dos Santos</t>
        </is>
      </c>
      <c r="J6" s="7" t="n">
        <v>5</v>
      </c>
      <c r="K6" s="5" t="inlineStr">
        <is>
          <t>Cliente relata que ao tentar emitir vendas com CST 51, no Venda Fácil, é retornada a Rejeição 929: Informado CST de diferimento sem as informações de diferimento.</t>
        </is>
      </c>
      <c r="L6" s="8" t="inlineStr">
        <is>
          <t>FatInt</t>
        </is>
      </c>
      <c r="M6" s="8" t="inlineStr">
        <is>
          <t>Venda Fácil</t>
        </is>
      </c>
      <c r="N6" s="8" t="inlineStr">
        <is>
          <t>Terceiros</t>
        </is>
      </c>
      <c r="O6" s="9" t="inlineStr">
        <is>
          <t>Causa A porcentagem de redução estava zero, mas nós temos uma nota autorizada no dia 26/02/2026 do portal 14554 que possuía a tag em questão e foi autorizada, entretanto, foi possível identificar a origem da rejeição 929, mas a partir de março entendemos que ela passou a ser necessária devido as rejeições. Foram analisadas diversas NTs, mas houve alterações nas regras de validação do campo N12-...</t>
        </is>
      </c>
      <c r="P6" s="10" t="inlineStr">
        <is>
          <t>Aparentemente não hve causa aparente. A validação do SEFAZ mudou, sem aviso, e parou de validar a tag de redução de base de cálculo para CST de diferimento</t>
        </is>
      </c>
      <c r="Q6" s="10" t="inlineStr">
        <is>
          <t>Código</t>
        </is>
      </c>
      <c r="R6" s="10" t="inlineStr">
        <is>
          <t>Sim</t>
        </is>
      </c>
      <c r="S6" s="10" t="inlineStr">
        <is>
          <t>CD005-Pre Venda Rejeicao por CST Incorreta
CD025-Editar Salvar e Finalizar Pre-Venda com Pagamento Nao Informado e Incluindo Novos Produtos
CD026-Editar Salvar e Finalizar Pre-Venda com Pagamento Total Informado e Incluindo Novos Produtos
(+2 mais)</t>
        </is>
      </c>
      <c r="T6" s="10" t="inlineStr">
        <is>
          <t>Não detectou</t>
        </is>
      </c>
      <c r="U6" s="10" t="inlineStr">
        <is>
          <t>Aparentemente somente alguns Estados começaram a validar essa tag no arquivo XML.</t>
        </is>
      </c>
      <c r="V6" s="10" t="inlineStr">
        <is>
          <t>Sim</t>
        </is>
      </c>
      <c r="W6" s="10" t="inlineStr">
        <is>
          <t>Daiane</t>
        </is>
      </c>
      <c r="X6" s="10" t="inlineStr">
        <is>
          <t>Gisele</t>
        </is>
      </c>
      <c r="Y6" s="10" t="n"/>
      <c r="Z6" s="10" t="inlineStr">
        <is>
          <t>Para esse caso em específico, por se tratar de erro do SEFAZ, para Estados Específicos, o plano de ação fica reduzido para alterações em Regras  Fiscais – mapear todos os Estados e cenários o máximo possível.</t>
        </is>
      </c>
      <c r="AA6" s="11" t="inlineStr">
        <is>
          <t>Sim</t>
        </is>
      </c>
      <c r="AB6" s="12" t="n">
        <v>46104</v>
      </c>
    </row>
    <row r="7" ht="40" customHeight="1">
      <c r="A7" s="4" t="inlineStr">
        <is>
          <t>MODAJOI-101005</t>
        </is>
      </c>
      <c r="B7" s="5" t="inlineStr">
        <is>
          <t>Exportação de dados: Erro ao exportar A exportação não gerou nenhum resultado. Tente alterar os filtros ==================================</t>
        </is>
      </c>
      <c r="C7" s="5" t="inlineStr">
        <is>
          <t>Concluída</t>
        </is>
      </c>
      <c r="D7" s="5" t="inlineStr">
        <is>
          <t>P1 - Alto</t>
        </is>
      </c>
      <c r="E7" s="6" t="n">
        <v>46100</v>
      </c>
      <c r="F7" s="6" t="n">
        <v>46100</v>
      </c>
      <c r="G7" s="5" t="n">
        <v>0</v>
      </c>
      <c r="H7" s="5" t="inlineStr">
        <is>
          <t>Pedro Henrique De Matos Veronese</t>
        </is>
      </c>
      <c r="I7" s="5" t="inlineStr">
        <is>
          <t>Pedro Henrique De Matos Veronese</t>
        </is>
      </c>
      <c r="J7" s="5" t="n">
        <v>2</v>
      </c>
      <c r="K7" s="5" t="inlineStr">
        <is>
          <t>Exportação de dados: Erro ao exportar A exportação não gerou nenhum resultado. Tente alterar os filtros ==================================</t>
        </is>
      </c>
      <c r="L7" s="8" t="inlineStr">
        <is>
          <t>FatInt</t>
        </is>
      </c>
      <c r="M7" s="8" t="inlineStr">
        <is>
          <t>Gerador de Relatórios</t>
        </is>
      </c>
      <c r="N7" s="8" t="inlineStr">
        <is>
          <t>Correção Código</t>
        </is>
      </c>
      <c r="O7" s="9" t="inlineStr">
        <is>
          <t>Ajustado código para remover o primeiro bloco que adiciona as aspas, deixando o valor final como "".</t>
        </is>
      </c>
      <c r="P7" s="10" t="inlineStr">
        <is>
          <t>Esquecimento no momento de subir o commit – retirada de “</t>
        </is>
      </c>
      <c r="Q7" s="10" t="inlineStr">
        <is>
          <t>Código</t>
        </is>
      </c>
      <c r="R7" s="10" t="n"/>
      <c r="S7" s="10" t="n"/>
      <c r="T7" s="10" t="n"/>
      <c r="U7" s="10" t="n"/>
      <c r="V7" s="10" t="inlineStr">
        <is>
          <t>Sim</t>
        </is>
      </c>
      <c r="W7" s="10" t="inlineStr">
        <is>
          <t>Vicente</t>
        </is>
      </c>
      <c r="X7" s="10" t="inlineStr">
        <is>
          <t>Letícia</t>
        </is>
      </c>
      <c r="Y7" s="10" t="n"/>
      <c r="Z7" s="10" t="inlineStr">
        <is>
          <t>Revisar liberação de alteração</t>
        </is>
      </c>
      <c r="AA7" s="11" t="inlineStr">
        <is>
          <t>Sim</t>
        </is>
      </c>
      <c r="AB7" s="12" t="n">
        <v>46104</v>
      </c>
    </row>
    <row r="8" ht="40" customHeight="1">
      <c r="A8" s="4" t="inlineStr">
        <is>
          <t>MODAJOI-100867</t>
        </is>
      </c>
      <c r="B8" s="5" t="inlineStr">
        <is>
          <t>ERP - Erro ao gerar painel de movimentações WMS ==================================</t>
        </is>
      </c>
      <c r="C8" s="5" t="inlineStr">
        <is>
          <t>Concluída</t>
        </is>
      </c>
      <c r="D8" s="5" t="inlineStr">
        <is>
          <t>P1 - Alto</t>
        </is>
      </c>
      <c r="E8" s="6" t="n">
        <v>46098</v>
      </c>
      <c r="F8" s="6" t="n">
        <v>46099</v>
      </c>
      <c r="G8" s="5" t="n">
        <v>1</v>
      </c>
      <c r="H8" s="5" t="inlineStr">
        <is>
          <t>Mariana Franco Fernandes</t>
        </is>
      </c>
      <c r="I8" s="5" t="n"/>
      <c r="J8" s="5" t="n">
        <v>1</v>
      </c>
      <c r="K8" s="5" t="inlineStr">
        <is>
          <t>ERP - Erro ao gerar painel de movimentações WMS ==================================</t>
        </is>
      </c>
      <c r="L8" s="8" t="n"/>
      <c r="M8" s="8" t="n"/>
      <c r="N8" s="8" t="inlineStr">
        <is>
          <t>Banco de Dados</t>
        </is>
      </c>
      <c r="O8" s="9" t="inlineStr">
        <is>
          <t>Quando iniciei a análise da issue, o problema estava ocorrendo. Ao começar fazer o teste localmente, também não estava trazendo as requisições - o que me fez desconfiar que era um problema de instabilidade do banco. Após fazer as buscas direto no banco e tentar por outros meios e ver que estava funcionando, rodei novamente o filtro na rotina diretamente no portal do cliente e a tela carregou no...</t>
        </is>
      </c>
      <c r="P8" s="10" t="inlineStr">
        <is>
          <t>Aparentemente instabilidade do cliente. Não houve nenhum tipo de ajuste.</t>
        </is>
      </c>
      <c r="Q8" s="10" t="n"/>
      <c r="R8" s="10" t="inlineStr">
        <is>
          <t>Não</t>
        </is>
      </c>
      <c r="S8" s="10" t="n"/>
      <c r="T8" s="10" t="n"/>
      <c r="U8" s="10" t="n"/>
      <c r="V8" s="10" t="inlineStr">
        <is>
          <t>Sim</t>
        </is>
      </c>
      <c r="W8" s="10" t="n"/>
      <c r="X8" s="10" t="n"/>
      <c r="Y8" s="10" t="n"/>
      <c r="Z8" s="10" t="inlineStr">
        <is>
          <t>Validar os logs – seja no Elastic APPInsights para tentar rastrear a causa efetiva para esse tipo de situação. Dessa forma melhorara a análise.</t>
        </is>
      </c>
      <c r="AA8" s="11" t="inlineStr">
        <is>
          <t>Sim</t>
        </is>
      </c>
      <c r="AB8" s="12" t="n">
        <v>46104</v>
      </c>
    </row>
    <row r="9" ht="40" customHeight="1">
      <c r="A9" s="4" t="inlineStr">
        <is>
          <t>MODAJOI-100396</t>
        </is>
      </c>
      <c r="B9" s="5" t="inlineStr">
        <is>
          <t>Orçamento/Pedido: Falha ao recuperar os dados para geração do link de pagamento ==================================</t>
        </is>
      </c>
      <c r="C9" s="5" t="inlineStr">
        <is>
          <t>Concluída</t>
        </is>
      </c>
      <c r="D9" s="5" t="inlineStr">
        <is>
          <t>P1 - Alto</t>
        </is>
      </c>
      <c r="E9" s="6" t="n">
        <v>46086</v>
      </c>
      <c r="F9" s="6" t="n">
        <v>46101</v>
      </c>
      <c r="G9" s="5" t="n">
        <v>15</v>
      </c>
      <c r="H9" s="5" t="inlineStr">
        <is>
          <t>Marcos Eduardo Melo Mendonca</t>
        </is>
      </c>
      <c r="I9" s="5" t="n"/>
      <c r="J9" s="5" t="n">
        <v>1</v>
      </c>
      <c r="K9" s="5" t="inlineStr">
        <is>
          <t>Orçamento/Pedido: Falha ao recuperar os dados para geração do link de pagamento ==================================</t>
        </is>
      </c>
      <c r="L9" s="8" t="inlineStr">
        <is>
          <t>FatInt</t>
        </is>
      </c>
      <c r="M9" s="8" t="inlineStr">
        <is>
          <t>Venda Fácil</t>
        </is>
      </c>
      <c r="N9" s="8" t="inlineStr">
        <is>
          <t>Terceiros</t>
        </is>
      </c>
      <c r="O9" s="9" t="inlineStr">
        <is>
          <t>Como correção foi realizado um ajuste efetivo até que tenhamos um retorno da Pagar.me sobre. Demanda correção retroativa: MODAJOI-100187 Cliente passou a utilizar versão checkout v1 ao invés de V2.</t>
        </is>
      </c>
      <c r="P9" s="10" t="inlineStr">
        <is>
          <t>Erro na PAGAR-ME.</t>
        </is>
      </c>
      <c r="Q9" s="10" t="inlineStr">
        <is>
          <t>Terceiros</t>
        </is>
      </c>
      <c r="R9" s="10" t="inlineStr">
        <is>
          <t>Sim</t>
        </is>
      </c>
      <c r="S9" s="10" t="inlineStr">
        <is>
          <t>CD010-Pre Venda com Link Pagamento
CD014-Agrupamento de Pré-Venda com Link de Pagamento
CD018-Pre Venda NFC-e com Link Pagamento
(+2 mais)</t>
        </is>
      </c>
      <c r="T9" s="10" t="inlineStr">
        <is>
          <t>Detectou problema</t>
        </is>
      </c>
      <c r="U9" s="10" t="inlineStr">
        <is>
          <t>Foi validado pelo QA porém para o caso em específico seria necessário voltar a versão do link de pagamento.</t>
        </is>
      </c>
      <c r="V9" s="10" t="inlineStr">
        <is>
          <t>Sim</t>
        </is>
      </c>
      <c r="W9" s="10" t="n"/>
      <c r="X9" s="10" t="n"/>
      <c r="Y9" s="10" t="inlineStr">
        <is>
          <t>Pendente 5</t>
        </is>
      </c>
      <c r="Z9" s="10" t="n"/>
      <c r="AA9" s="11" t="inlineStr">
        <is>
          <t>Sim</t>
        </is>
      </c>
      <c r="AB9" s="12" t="n">
        <v>46104</v>
      </c>
    </row>
    <row r="10" ht="40" customHeight="1">
      <c r="A10" s="4" t="inlineStr">
        <is>
          <t>MODAJOI-100761</t>
        </is>
      </c>
      <c r="B10" s="5" t="inlineStr">
        <is>
          <t>Venda Fácil - Envio de comprovante de troca com documento 0.</t>
        </is>
      </c>
      <c r="C10" s="5" t="inlineStr">
        <is>
          <t>Concluída</t>
        </is>
      </c>
      <c r="D10" s="5" t="inlineStr">
        <is>
          <t>P1 - Alto</t>
        </is>
      </c>
      <c r="E10" s="6" t="n">
        <v>46094</v>
      </c>
      <c r="F10" s="6" t="n">
        <v>46104</v>
      </c>
      <c r="G10" s="5" t="n">
        <v>10</v>
      </c>
      <c r="H10" s="5" t="inlineStr">
        <is>
          <t>Fernando Sutter</t>
        </is>
      </c>
      <c r="I10" s="5" t="inlineStr">
        <is>
          <t>Déborah Brenda Dos Santos</t>
        </is>
      </c>
      <c r="J10" s="5" t="n">
        <v>1</v>
      </c>
      <c r="K10" s="5" t="n"/>
      <c r="L10" s="8" t="inlineStr">
        <is>
          <t>FatInt</t>
        </is>
      </c>
      <c r="M10" s="8" t="inlineStr">
        <is>
          <t>Venda Fácil</t>
        </is>
      </c>
      <c r="N10" s="8" t="inlineStr">
        <is>
          <t>Correção Código</t>
        </is>
      </c>
      <c r="O10" s="9" t="inlineStr">
        <is>
          <t>[Alteração no código] Adiciona método para obter payload correto de envio e atualiza chamada de ação para enviar informações de troca por email</t>
        </is>
      </c>
      <c r="P10" s="10" t="inlineStr">
        <is>
          <t>Foi fechada incorretamente como P1.</t>
        </is>
      </c>
      <c r="Q10" s="10" t="inlineStr">
        <is>
          <t>Código</t>
        </is>
      </c>
      <c r="R10" s="10" t="inlineStr">
        <is>
          <t>Sim</t>
        </is>
      </c>
      <c r="S10" s="10" t="inlineStr">
        <is>
          <t>CD05 - Alterar Vendedor no Movimento Diário
CD02-Gerar Ticket Manual com Base Central
CD04-Conferir Vendedor, Pagamentos, Produtos, Cliente e Descontos no Movimentos Diario
(+2 mais)</t>
        </is>
      </c>
      <c r="T10" s="10" t="n"/>
      <c r="U10" s="10" t="n"/>
      <c r="V10" s="10" t="n"/>
      <c r="W10" s="10" t="inlineStr">
        <is>
          <t>Daiane</t>
        </is>
      </c>
      <c r="X10" s="10" t="inlineStr">
        <is>
          <t>Gisele</t>
        </is>
      </c>
      <c r="Y10" s="10" t="n"/>
      <c r="Z10" s="10" t="n"/>
      <c r="AA10" s="11" t="inlineStr">
        <is>
          <t>Sim</t>
        </is>
      </c>
      <c r="AB10" s="12" t="n">
        <v>46104</v>
      </c>
    </row>
    <row r="11" ht="40" customHeight="1">
      <c r="A11" s="4" t="inlineStr">
        <is>
          <t>MODAJOI-100652</t>
        </is>
      </c>
      <c r="B11" s="5" t="inlineStr">
        <is>
          <t>Venda fácil: Não permite editar pré-venda ==================================</t>
        </is>
      </c>
      <c r="C11" s="5" t="inlineStr">
        <is>
          <t>Concluída</t>
        </is>
      </c>
      <c r="D11" s="5" t="inlineStr">
        <is>
          <t>P2 - Médio</t>
        </is>
      </c>
      <c r="E11" s="6" t="n">
        <v>46093</v>
      </c>
      <c r="F11" s="6" t="n">
        <v>46098</v>
      </c>
      <c r="G11" s="5" t="n">
        <v>5</v>
      </c>
      <c r="H11" s="5" t="inlineStr">
        <is>
          <t>Kassia Mabily Fraga Souza</t>
        </is>
      </c>
      <c r="I11" s="5" t="inlineStr">
        <is>
          <t>Altimara Wrobel Carneiro Schmitz</t>
        </is>
      </c>
      <c r="J11" s="7" t="n">
        <v>27</v>
      </c>
      <c r="K11" s="5" t="inlineStr">
        <is>
          <t>Venda fácil: Não permite editar pré-venda ==================================</t>
        </is>
      </c>
      <c r="L11" s="8" t="inlineStr">
        <is>
          <t>FatInt</t>
        </is>
      </c>
      <c r="M11" s="8" t="inlineStr">
        <is>
          <t>Venda Fácil</t>
        </is>
      </c>
      <c r="N11" s="8" t="inlineStr">
        <is>
          <t>Correção Código</t>
        </is>
      </c>
      <c r="O11" s="9" t="inlineStr">
        <is>
          <t>[Alteração no código] Causa Após alterações da demanda originadora (MODAJOI-99809), a regra de habilitação do botão “Finalizar” na tela de pagamento da pré-venda ficou mais restritiva e, ao editar uma pré-venda existente sem informar pagamento, o botão permanecia “em marca d’água” (desabilitado), impedindo salvar/prosseguir com as alterações. Solução Ajustada a condição do método `permiteFinali...</t>
        </is>
      </c>
      <c r="P11" s="10" t="inlineStr">
        <is>
          <t>MODAJOI-99809 - Foi uma condição implementada para tentar blindar um outro problema - Feito Rollback</t>
        </is>
      </c>
      <c r="Q11" s="10" t="inlineStr">
        <is>
          <t>Código</t>
        </is>
      </c>
      <c r="R11" s="10" t="inlineStr">
        <is>
          <t>Não</t>
        </is>
      </c>
      <c r="S11" s="10" t="n"/>
      <c r="T11" s="10" t="inlineStr">
        <is>
          <t>Não se Aplica</t>
        </is>
      </c>
      <c r="U11" s="10" t="inlineStr">
        <is>
          <t>Solicitado a criação para um no TA que faça a varredura de casos como esse.</t>
        </is>
      </c>
      <c r="V11" s="10" t="inlineStr">
        <is>
          <t>Sim</t>
        </is>
      </c>
      <c r="W11" s="10" t="inlineStr">
        <is>
          <t>Daiane</t>
        </is>
      </c>
      <c r="X11" s="10" t="inlineStr">
        <is>
          <t>Gisele</t>
        </is>
      </c>
      <c r="Y11" s="10" t="inlineStr">
        <is>
          <t>Pendente</t>
        </is>
      </c>
      <c r="Z11" s="10" t="inlineStr">
        <is>
          <t>Iniciativa do dev para rollback e abertura de TA</t>
        </is>
      </c>
      <c r="AA11" s="11" t="inlineStr">
        <is>
          <t>Sim</t>
        </is>
      </c>
      <c r="AB11" s="12" t="n">
        <v>46098</v>
      </c>
    </row>
    <row r="12" ht="40" customHeight="1">
      <c r="A12" s="4" t="inlineStr">
        <is>
          <t>MODAJOI-100187</t>
        </is>
      </c>
      <c r="B12" s="5" t="inlineStr">
        <is>
          <t>Oops, Ocorreu um erro! ao gerar Pré-venda com link de pagamento. ==================================</t>
        </is>
      </c>
      <c r="C12" s="5" t="inlineStr">
        <is>
          <t>Concluída</t>
        </is>
      </c>
      <c r="D12" s="5" t="inlineStr">
        <is>
          <t>P2 - Médio</t>
        </is>
      </c>
      <c r="E12" s="6" t="n">
        <v>46081</v>
      </c>
      <c r="F12" s="6" t="n">
        <v>46098</v>
      </c>
      <c r="G12" s="5" t="n">
        <v>17</v>
      </c>
      <c r="H12" s="5" t="inlineStr">
        <is>
          <t>Marcos Eduardo Melo Mendonca</t>
        </is>
      </c>
      <c r="I12" s="5" t="inlineStr">
        <is>
          <t>Déborah Brenda Dos Santos</t>
        </is>
      </c>
      <c r="J12" s="7" t="n">
        <v>9</v>
      </c>
      <c r="K12" s="5" t="inlineStr">
        <is>
          <t>Oops, Ocorreu um erro! ao gerar Pré-venda com link de pagamento. ==================================</t>
        </is>
      </c>
      <c r="L12" s="8" t="inlineStr">
        <is>
          <t>FatInt</t>
        </is>
      </c>
      <c r="M12" s="8" t="inlineStr">
        <is>
          <t>Venda Fácil</t>
        </is>
      </c>
      <c r="N12" s="8" t="inlineStr">
        <is>
          <t>Terceiros</t>
        </is>
      </c>
      <c r="O12" s="9" t="inlineStr">
        <is>
          <t>[Alteração no código] Atualização URL</t>
        </is>
      </c>
      <c r="P12" s="10" t="inlineStr">
        <is>
          <t>Link do Pagar-me que não está funcionando, para a Versão V2.</t>
        </is>
      </c>
      <c r="Q12" s="10" t="inlineStr">
        <is>
          <t>Terceiros</t>
        </is>
      </c>
      <c r="R12" s="10" t="inlineStr">
        <is>
          <t>Sim</t>
        </is>
      </c>
      <c r="S12" s="10" t="inlineStr">
        <is>
          <t>CD007-Pre Venda com Link Pagamento via Whatsapp - esse cenário estava com erro</t>
        </is>
      </c>
      <c r="T12" s="10" t="inlineStr">
        <is>
          <t>Detectou problema</t>
        </is>
      </c>
      <c r="U12" s="10" t="inlineStr">
        <is>
          <t>CD007-Pre Venda com Link Pagamento via Whatsapp - esse cenário estava com erro</t>
        </is>
      </c>
      <c r="V12" s="10" t="inlineStr">
        <is>
          <t>Não</t>
        </is>
      </c>
      <c r="W12" s="10" t="inlineStr">
        <is>
          <t>Daiane</t>
        </is>
      </c>
      <c r="X12" s="10" t="inlineStr">
        <is>
          <t>Gisele</t>
        </is>
      </c>
      <c r="Y12" s="10" t="inlineStr">
        <is>
          <t>Pendente 5</t>
        </is>
      </c>
      <c r="Z12" s="10" t="inlineStr">
        <is>
          <t>Nesse caso o problema foi causado por terceiros e a solução foi alterar o link de pagamento.</t>
        </is>
      </c>
      <c r="AA12" s="11" t="inlineStr">
        <is>
          <t>Sim</t>
        </is>
      </c>
      <c r="AB12" s="12" t="n">
        <v>46098</v>
      </c>
    </row>
    <row r="13" ht="40" customHeight="1">
      <c r="A13" s="4" t="inlineStr">
        <is>
          <t>MODAJOI-99532</t>
        </is>
      </c>
      <c r="B13" s="5" t="inlineStr">
        <is>
          <t>POS - Comprovante do Remessas e Retornos não Funciona</t>
        </is>
      </c>
      <c r="C13" s="5" t="inlineStr">
        <is>
          <t>Concluída</t>
        </is>
      </c>
      <c r="D13" s="5" t="inlineStr">
        <is>
          <t>P3 - Baixo</t>
        </is>
      </c>
      <c r="E13" s="6" t="n">
        <v>46063</v>
      </c>
      <c r="F13" s="6" t="n">
        <v>46098</v>
      </c>
      <c r="G13" s="5" t="n">
        <v>35</v>
      </c>
      <c r="H13" s="5" t="inlineStr">
        <is>
          <t xml:space="preserve">Joao Vinicius Souza Goncalves </t>
        </is>
      </c>
      <c r="I13" s="5" t="inlineStr">
        <is>
          <t>Déborah Brenda Dos Santos</t>
        </is>
      </c>
      <c r="J13" s="7" t="n">
        <v>7</v>
      </c>
      <c r="K13" s="5" t="inlineStr">
        <is>
          <t>POS - Comprovante do Remessas e Retornos não Funciona</t>
        </is>
      </c>
      <c r="L13" s="8" t="inlineStr">
        <is>
          <t>FatInt</t>
        </is>
      </c>
      <c r="M13" s="8" t="inlineStr">
        <is>
          <t>Remessas e Retornos</t>
        </is>
      </c>
      <c r="N13" s="8" t="inlineStr">
        <is>
          <t>Correção Código</t>
        </is>
      </c>
      <c r="O13" s="9" t="inlineStr">
        <is>
          <t>[Alteração no código] Ajuste para que o POS permite corretamente imprimir o comprovante de remessas e retornos.</t>
        </is>
      </c>
      <c r="P13" s="10" t="inlineStr">
        <is>
          <t>MODAJOI-99032 - Acabou impactando somente a rotina online.</t>
        </is>
      </c>
      <c r="Q13" s="10" t="inlineStr">
        <is>
          <t>Código</t>
        </is>
      </c>
      <c r="R13" s="10" t="inlineStr">
        <is>
          <t>Sim</t>
        </is>
      </c>
      <c r="S13" s="10" t="inlineStr">
        <is>
          <t>TestComplete</t>
        </is>
      </c>
      <c r="T13" s="10" t="inlineStr">
        <is>
          <t>Não se Aplica</t>
        </is>
      </c>
      <c r="U13" s="10" t="inlineStr">
        <is>
          <t>Somente são realizados na publicação de nova versão do POS</t>
        </is>
      </c>
      <c r="V13" s="10" t="inlineStr">
        <is>
          <t>Sim</t>
        </is>
      </c>
      <c r="W13" s="10" t="inlineStr">
        <is>
          <t>Daiane</t>
        </is>
      </c>
      <c r="X13" s="10" t="inlineStr">
        <is>
          <t>Otávio</t>
        </is>
      </c>
      <c r="Y13" s="10" t="n"/>
      <c r="Z13" s="10" t="inlineStr">
        <is>
          <t>Quando alterar qualquer rotina, elencar as principais rotinas online para não cair em erros</t>
        </is>
      </c>
      <c r="AA13" s="11" t="inlineStr">
        <is>
          <t>Sim</t>
        </is>
      </c>
      <c r="AB13" s="12" t="n">
        <v>46098</v>
      </c>
    </row>
    <row r="14" ht="40" customHeight="1">
      <c r="A14" s="4" t="inlineStr">
        <is>
          <t>MODAJOI-100251</t>
        </is>
      </c>
      <c r="B14" s="5" t="inlineStr">
        <is>
          <t>Venda Fácil - Não finaliza venda com campanha do CRM&amp;Bônus.</t>
        </is>
      </c>
      <c r="C14" s="5" t="inlineStr">
        <is>
          <t>Concluída</t>
        </is>
      </c>
      <c r="D14" s="5" t="inlineStr">
        <is>
          <t>P1 - Alto</t>
        </is>
      </c>
      <c r="E14" s="6" t="n">
        <v>46083</v>
      </c>
      <c r="F14" s="6" t="n">
        <v>46098</v>
      </c>
      <c r="G14" s="5" t="n">
        <v>15</v>
      </c>
      <c r="H14" s="5" t="inlineStr">
        <is>
          <t xml:space="preserve">Joao Vinicius Souza Goncalves </t>
        </is>
      </c>
      <c r="I14" s="5" t="inlineStr">
        <is>
          <t>Déborah Brenda Dos Santos</t>
        </is>
      </c>
      <c r="J14" s="5" t="n">
        <v>2</v>
      </c>
      <c r="K14" s="5" t="inlineStr">
        <is>
          <t>Venda Fácil - Não finaliza venda com campanha do CRM&amp;Bônus.</t>
        </is>
      </c>
      <c r="L14" s="8" t="inlineStr">
        <is>
          <t>FatInt</t>
        </is>
      </c>
      <c r="M14" s="8" t="inlineStr">
        <is>
          <t>Venda Fácil</t>
        </is>
      </c>
      <c r="N14" s="8" t="inlineStr">
        <is>
          <t>Correção Código</t>
        </is>
      </c>
      <c r="O14" s="9" t="inlineStr">
        <is>
          <t>[Alteração no código] Ajuste para que o VF finalize corretamente caso haja campanha crmBonus. O erro ocorria por uma especie de `blindagem` para evitar duplo clique e duplicidade na finalização de vendas. Que tratava essa finalização indevidamente e impedia que de fato a venda fosse concluida.</t>
        </is>
      </c>
      <c r="P14" s="10" t="n"/>
      <c r="Q14" s="10" t="inlineStr">
        <is>
          <t>Código</t>
        </is>
      </c>
      <c r="R14" s="10" t="inlineStr">
        <is>
          <t>Não</t>
        </is>
      </c>
      <c r="S14" s="10" t="n"/>
      <c r="T14" s="10" t="inlineStr">
        <is>
          <t>Não se Aplica</t>
        </is>
      </c>
      <c r="U14" s="10" t="inlineStr">
        <is>
          <t>Teria que deixar um ambiente configurado para utilizar o CRM Bonus e que o ambiente esteja 100% disponível</t>
        </is>
      </c>
      <c r="V14" s="10" t="inlineStr">
        <is>
          <t>Sim</t>
        </is>
      </c>
      <c r="W14" s="10" t="inlineStr">
        <is>
          <t>Daiane</t>
        </is>
      </c>
      <c r="X14" s="10" t="inlineStr">
        <is>
          <t>Gisele</t>
        </is>
      </c>
      <c r="Y14" s="10" t="n"/>
      <c r="Z14" s="10" t="inlineStr">
        <is>
          <t>Time do Ademir avaliar a possibilidade de criação de TA para essa rotina e estruturar o ambiente / Mapear quantos clientes utilizam a V1 do CRM Bonus e quantos utilizam a V2</t>
        </is>
      </c>
      <c r="AA14" s="11" t="inlineStr">
        <is>
          <t>Sim</t>
        </is>
      </c>
      <c r="AB14" s="12" t="n">
        <v>46098</v>
      </c>
    </row>
    <row r="15" ht="40" customHeight="1">
      <c r="A15" s="4" t="inlineStr">
        <is>
          <t>MODAJOI-100393</t>
        </is>
      </c>
      <c r="B15" s="5" t="inlineStr">
        <is>
          <t>Troca fácil: Não é possivel realizar devolução para o item ==================================</t>
        </is>
      </c>
      <c r="C15" s="5" t="inlineStr">
        <is>
          <t>Concluída</t>
        </is>
      </c>
      <c r="D15" s="5" t="inlineStr">
        <is>
          <t>P1 - Alto</t>
        </is>
      </c>
      <c r="E15" s="6" t="n">
        <v>46086</v>
      </c>
      <c r="F15" s="6" t="n">
        <v>46098</v>
      </c>
      <c r="G15" s="13">
        <f>IF(OR(E15="",F15=""),"",INT(F15-E15))</f>
        <v/>
      </c>
      <c r="H15" s="5" t="inlineStr">
        <is>
          <t>Leticia Saraiva Chaves</t>
        </is>
      </c>
      <c r="I15" s="5" t="inlineStr">
        <is>
          <t>Déborah Brenda Dos Santos</t>
        </is>
      </c>
      <c r="J15" s="5" t="n">
        <v>1</v>
      </c>
      <c r="K15" s="5" t="inlineStr">
        <is>
          <t>Troca fácil: Não é possivel realizar devolução para o item ==================================</t>
        </is>
      </c>
      <c r="L15" s="8" t="inlineStr">
        <is>
          <t>FFC</t>
        </is>
      </c>
      <c r="M15" s="8" t="inlineStr">
        <is>
          <t>NF-e</t>
        </is>
      </c>
      <c r="N15" s="8" t="inlineStr">
        <is>
          <t>Banco de Dados</t>
        </is>
      </c>
      <c r="O15" s="9" t="inlineStr">
        <is>
          <t>[Alteração no código] Ajuste na query ao verificar a existência de devolução sem registro na tabela trocaunificada.</t>
        </is>
      </c>
      <c r="P15" s="10" t="inlineStr"/>
      <c r="Q15" s="10" t="inlineStr"/>
      <c r="R15" s="10" t="inlineStr">
        <is>
          <t>Sim</t>
        </is>
      </c>
      <c r="S15" s="10" t="inlineStr">
        <is>
          <t>CD06-Realizar uma Venda Vitrine e Alterar o Pedido
CD17-Devolução por nota com múltiplas linhas do mesmo produto
CD01-Realizar Troca e Zerar Vale Gerado
(+2 mais)</t>
        </is>
      </c>
      <c r="T15" s="10" t="inlineStr"/>
      <c r="U15" s="10" t="inlineStr"/>
      <c r="V15" s="10" t="inlineStr"/>
      <c r="W15" s="10" t="inlineStr">
        <is>
          <t>Flavia Doge</t>
        </is>
      </c>
      <c r="X15" s="10" t="inlineStr">
        <is>
          <t>Jean Carlos</t>
        </is>
      </c>
      <c r="Y15" s="10" t="inlineStr"/>
      <c r="Z15" s="10" t="inlineStr"/>
      <c r="AA15" s="14" t="inlineStr"/>
      <c r="AB15" s="12" t="n">
        <v>46098</v>
      </c>
    </row>
    <row r="16" ht="40" customHeight="1">
      <c r="A16" s="4" t="inlineStr">
        <is>
          <t>MODAJOI-100578</t>
        </is>
      </c>
      <c r="B16" s="5" t="inlineStr">
        <is>
          <t>Valor mínimo para resgate incorreto no venda fácil, comparando a configuração do fidelidade no Reshop.</t>
        </is>
      </c>
      <c r="C16" s="5" t="inlineStr">
        <is>
          <t>Concluída</t>
        </is>
      </c>
      <c r="D16" s="5" t="inlineStr">
        <is>
          <t>P1 - Alto</t>
        </is>
      </c>
      <c r="E16" s="6" t="n">
        <v>46092</v>
      </c>
      <c r="F16" s="6" t="n">
        <v>46098</v>
      </c>
      <c r="G16" s="5" t="n">
        <v>6</v>
      </c>
      <c r="H16" s="5" t="inlineStr">
        <is>
          <t>Kassia Mabily Fraga Souza</t>
        </is>
      </c>
      <c r="I16" s="5" t="inlineStr">
        <is>
          <t>Déborah Brenda Dos Santos</t>
        </is>
      </c>
      <c r="J16" s="5" t="n">
        <v>1</v>
      </c>
      <c r="K16" s="5" t="inlineStr">
        <is>
          <t>Valor mínimo para resgate incorreto no venda fácil, comparando a configuração do fidelidade no Reshop.</t>
        </is>
      </c>
      <c r="L16" s="8" t="inlineStr">
        <is>
          <t>FatInt</t>
        </is>
      </c>
      <c r="M16" s="8" t="inlineStr">
        <is>
          <t>Venda Fácil</t>
        </is>
      </c>
      <c r="N16" s="8" t="inlineStr">
        <is>
          <t>Correção Código</t>
        </is>
      </c>
      <c r="O16" s="9" t="inlineStr">
        <is>
          <t>[Alteração no código] Causa Na tela de resgate por pontos, o “valor mínimo de resgate” exibido estava confundindo a regra: o sistema acabava apresentando incorretamente um valor relacionado a pontos (ou a conversão/limite) quando, na prática, existem regras distintas: - Valor mínimo da venda para permitir resgate; - Limite percentual de resgate sobre o valor da venda; - Valor mínimo (em R$) par...</t>
        </is>
      </c>
      <c r="P16" s="10" t="inlineStr">
        <is>
          <t>Não teve uma causa descoberta.</t>
        </is>
      </c>
      <c r="Q16" s="10" t="inlineStr">
        <is>
          <t>Código</t>
        </is>
      </c>
      <c r="R16" s="10" t="inlineStr">
        <is>
          <t>Não</t>
        </is>
      </c>
      <c r="S16" s="10" t="n"/>
      <c r="T16" s="10" t="inlineStr">
        <is>
          <t>Não se Aplica</t>
        </is>
      </c>
      <c r="U16" s="10" t="inlineStr">
        <is>
          <t>Como se trata de problema visual, talvez não se aplique ao TA</t>
        </is>
      </c>
      <c r="V16" s="10" t="inlineStr">
        <is>
          <t>Sim</t>
        </is>
      </c>
      <c r="W16" s="10" t="inlineStr">
        <is>
          <t>Daiane</t>
        </is>
      </c>
      <c r="X16" s="10" t="inlineStr">
        <is>
          <t>Gisele</t>
        </is>
      </c>
      <c r="Y16" s="10" t="inlineStr">
        <is>
          <t>https://jira.linx.com.br/browse/MODAJOI-101142</t>
        </is>
      </c>
      <c r="Z16" s="10" t="inlineStr">
        <is>
          <t>Fazer uma análise da possibilidade de criar um TA relativo a esse tipo de problema</t>
        </is>
      </c>
      <c r="AA16" s="11" t="inlineStr">
        <is>
          <t>Sim</t>
        </is>
      </c>
      <c r="AB16" s="12" t="n">
        <v>46098</v>
      </c>
    </row>
    <row r="17" ht="40" customHeight="1">
      <c r="A17" s="4" t="inlineStr">
        <is>
          <t>MODAJOI-100461</t>
        </is>
      </c>
      <c r="B17" s="5" t="inlineStr">
        <is>
          <t>Ao abrir POS e na tela inicial, após curto tempo consta mensagem de erro:</t>
        </is>
      </c>
      <c r="C17" s="5" t="inlineStr">
        <is>
          <t>Concluída</t>
        </is>
      </c>
      <c r="D17" s="5" t="inlineStr">
        <is>
          <t>P1 - Alto</t>
        </is>
      </c>
      <c r="E17" s="6" t="n">
        <v>46087</v>
      </c>
      <c r="F17" s="6" t="n">
        <v>46098</v>
      </c>
      <c r="G17" s="5" t="n">
        <v>11</v>
      </c>
      <c r="H17" s="5" t="inlineStr">
        <is>
          <t xml:space="preserve">Joao Vinicius Souza Goncalves </t>
        </is>
      </c>
      <c r="I17" s="5" t="n"/>
      <c r="J17" s="5" t="n">
        <v>1</v>
      </c>
      <c r="K17" s="5" t="inlineStr">
        <is>
          <t>Ao abrir POS e na tela inicial, após curto tempo consta mensagem de erro:</t>
        </is>
      </c>
      <c r="L17" s="8" t="inlineStr">
        <is>
          <t>FatInt</t>
        </is>
      </c>
      <c r="M17" s="8" t="inlineStr">
        <is>
          <t>POS</t>
        </is>
      </c>
      <c r="N17" s="8" t="inlineStr">
        <is>
          <t>Sistema</t>
        </is>
      </c>
      <c r="O17" s="9" t="inlineStr">
        <is>
          <t>Realizado ajuste nos produtos, pois haviam mais de 1600 produtos definidos como catálogo. Deste modo, ocasionava travamentos dado o alto volume. Após o ajuste, o erro cessou. Trataremos o problema em sua causa raiz através de uma melhoria que será aberta.</t>
        </is>
      </c>
      <c r="P17" s="10" t="inlineStr">
        <is>
          <t>O cliente utilizou um número maior do que o limite permitido de sincronização de produtos</t>
        </is>
      </c>
      <c r="Q17" s="10" t="inlineStr">
        <is>
          <t>Banco de Dados</t>
        </is>
      </c>
      <c r="R17" s="10" t="inlineStr">
        <is>
          <t>Não</t>
        </is>
      </c>
      <c r="S17" s="10" t="n"/>
      <c r="T17" s="10" t="inlineStr">
        <is>
          <t>Não se Aplica</t>
        </is>
      </c>
      <c r="U17" s="10" t="n"/>
      <c r="V17" s="10" t="n"/>
      <c r="W17" s="10" t="inlineStr">
        <is>
          <t>Daiane</t>
        </is>
      </c>
      <c r="X17" s="10" t="inlineStr">
        <is>
          <t>Gisele</t>
        </is>
      </c>
      <c r="Y17" s="10" t="inlineStr">
        <is>
          <t>Pendente 4</t>
        </is>
      </c>
      <c r="Z17" s="10" t="inlineStr">
        <is>
          <t>Fazer um levantamento para validar se a blindagem para limitação de importação se perdeu</t>
        </is>
      </c>
      <c r="AA17" s="11" t="inlineStr">
        <is>
          <t>Sim</t>
        </is>
      </c>
      <c r="AB17" s="12" t="n">
        <v>46098</v>
      </c>
    </row>
    <row r="18" ht="40" customHeight="1">
      <c r="A18" s="4" t="inlineStr">
        <is>
          <t>MODAJOI-100418</t>
        </is>
      </c>
      <c r="B18" s="5" t="inlineStr">
        <is>
          <t>Venda Fácil - Rejeição 865: Total dos pagamentos menor que o total da nota, em vendas com cupom.</t>
        </is>
      </c>
      <c r="C18" s="5" t="inlineStr">
        <is>
          <t>Concluída</t>
        </is>
      </c>
      <c r="D18" s="5" t="inlineStr">
        <is>
          <t>P1 - Alto</t>
        </is>
      </c>
      <c r="E18" s="6" t="n">
        <v>46086</v>
      </c>
      <c r="F18" s="6" t="n">
        <v>46098</v>
      </c>
      <c r="G18" s="5" t="n">
        <v>12</v>
      </c>
      <c r="H18" s="5" t="inlineStr">
        <is>
          <t>Kassia Mabily Fraga Souza</t>
        </is>
      </c>
      <c r="I18" s="5" t="inlineStr">
        <is>
          <t>Déborah Brenda Dos Santos</t>
        </is>
      </c>
      <c r="J18" s="5" t="n">
        <v>1</v>
      </c>
      <c r="K18" s="5" t="inlineStr">
        <is>
          <t>Venda Fácil - Rejeição 865: Total dos pagamentos menor que o total da nota, em vendas com cupom.</t>
        </is>
      </c>
      <c r="L18" s="8" t="inlineStr">
        <is>
          <t>FatInt</t>
        </is>
      </c>
      <c r="M18" s="8" t="inlineStr">
        <is>
          <t>Venda Fácil</t>
        </is>
      </c>
      <c r="N18" s="8" t="inlineStr">
        <is>
          <t>Correção Código</t>
        </is>
      </c>
      <c r="O18" s="9" t="inlineStr">
        <is>
          <t>[Alteração no código] Causa A validação anterior limitava o desconto considerando apenas o valor total dos produtos. Com isso, era possível concluir a venda com valor final de R$ 0,01, independentemente da quantidade de itens, pois a regra distribuía esse mínimo por item. A validação anterior veio como ajuste da MODAJOI-100016, mas as alterações surtiam efeito para o cenário do valor do cupom m...</t>
        </is>
      </c>
      <c r="P18" s="10" t="inlineStr">
        <is>
          <t>Problemas com arredondamento - no momento do arredondamento o sistema se perdia.</t>
        </is>
      </c>
      <c r="Q18" s="10" t="inlineStr">
        <is>
          <t>Código</t>
        </is>
      </c>
      <c r="R18" s="10" t="inlineStr">
        <is>
          <t>Não</t>
        </is>
      </c>
      <c r="S18" s="10" t="n"/>
      <c r="T18" s="10" t="inlineStr">
        <is>
          <t>Não se Aplica</t>
        </is>
      </c>
      <c r="U18" s="10" t="inlineStr">
        <is>
          <t>O item do cliente é específico - ótico + cupom de desconto + pagamento parcial</t>
        </is>
      </c>
      <c r="V18" s="10" t="inlineStr">
        <is>
          <t>Sim</t>
        </is>
      </c>
      <c r="W18" s="10" t="inlineStr">
        <is>
          <t>Daiane</t>
        </is>
      </c>
      <c r="X18" s="10" t="inlineStr">
        <is>
          <t>Gisele</t>
        </is>
      </c>
      <c r="Y18" s="10" t="inlineStr">
        <is>
          <t>https://jira.linx.com.br/browse/MODAJOI-101007</t>
        </is>
      </c>
      <c r="Z18" s="10" t="inlineStr">
        <is>
          <t>Fazer uma análise nas ultimas rejeições/bug e criar algo para blindar esse tipo de situação de arredondamento.</t>
        </is>
      </c>
      <c r="AA18" s="11" t="inlineStr">
        <is>
          <t>Sim</t>
        </is>
      </c>
      <c r="AB18" s="12" t="n">
        <v>46098</v>
      </c>
    </row>
    <row r="19" ht="40" customHeight="1">
      <c r="A19" s="4" t="inlineStr">
        <is>
          <t>MODAJOI-100776</t>
        </is>
      </c>
      <c r="B19" s="5" t="inlineStr">
        <is>
          <t>Conciliador bancário: Erro ao desconciliar faturas e lançamentos contábeis: Execution Timeout Expired. ==================================</t>
        </is>
      </c>
      <c r="C19" s="5" t="inlineStr">
        <is>
          <t>Concluída</t>
        </is>
      </c>
      <c r="D19" s="5" t="inlineStr">
        <is>
          <t>P1 - Alto</t>
        </is>
      </c>
      <c r="E19" s="6" t="n">
        <v>46094</v>
      </c>
      <c r="F19" s="6" t="n">
        <v>46097</v>
      </c>
      <c r="G19" s="13">
        <f>IF(OR(E19="",F19=""),"",INT(F19-E19))</f>
        <v/>
      </c>
      <c r="H19" s="5" t="inlineStr">
        <is>
          <t>Marcos Felipe Dantas Da Costa</t>
        </is>
      </c>
      <c r="I19" s="5" t="inlineStr"/>
      <c r="J19" s="5" t="n">
        <v>1</v>
      </c>
      <c r="K19" s="5" t="inlineStr">
        <is>
          <t>Conciliador bancário: Erro ao desconciliar faturas e lançamentos contábeis: Execution Timeout Expired. ==================================</t>
        </is>
      </c>
      <c r="L19" s="8" t="inlineStr">
        <is>
          <t>FFC</t>
        </is>
      </c>
      <c r="M19" s="8" t="inlineStr">
        <is>
          <t>Gestão Financeira</t>
        </is>
      </c>
      <c r="N19" s="8" t="inlineStr">
        <is>
          <t>Banco de Dados</t>
        </is>
      </c>
      <c r="O19" s="9" t="inlineStr">
        <is>
          <t>The Tempo Account was changed to Nao Capitalizavel (Opex) by the Scriptrunner validation script</t>
        </is>
      </c>
      <c r="P19" s="10" t="inlineStr"/>
      <c r="Q19" s="10" t="inlineStr"/>
      <c r="R19" s="10" t="inlineStr">
        <is>
          <t>Sim</t>
        </is>
      </c>
      <c r="S19" s="10" t="inlineStr">
        <is>
          <t>CD18-Conciliar Fatura a Receber Por Sugestão
CD20-Conciliar Mais de uma Fatura a Receber Selecionando Mesmo Valor do Extrato
CD09-Conciliar Extrato a Receber Utilizando Regra para Conciliação Automática
(+2 mais)</t>
        </is>
      </c>
      <c r="T19" s="10" t="inlineStr"/>
      <c r="U19" s="10" t="inlineStr"/>
      <c r="V19" s="10" t="inlineStr"/>
      <c r="W19" s="10" t="inlineStr">
        <is>
          <t>Michelle Pereira</t>
        </is>
      </c>
      <c r="X19" s="10" t="inlineStr">
        <is>
          <t>Fabio Elias</t>
        </is>
      </c>
      <c r="Y19" s="10" t="inlineStr"/>
      <c r="Z19" s="10" t="inlineStr"/>
      <c r="AA19" s="14" t="inlineStr"/>
      <c r="AB19" s="12" t="n">
        <v>46097</v>
      </c>
    </row>
    <row r="20" ht="40" customHeight="1">
      <c r="A20" s="4" t="inlineStr">
        <is>
          <t>MODAJOI-100270</t>
        </is>
      </c>
      <c r="B20" s="5" t="inlineStr">
        <is>
          <t>Venda Fácil - Erro Undefined ao Pesquisar o Serviços pelo Nome</t>
        </is>
      </c>
      <c r="C20" s="5" t="inlineStr">
        <is>
          <t>Concluída</t>
        </is>
      </c>
      <c r="D20" s="5" t="inlineStr">
        <is>
          <t>P1 - Alto</t>
        </is>
      </c>
      <c r="E20" s="6" t="n">
        <v>46084</v>
      </c>
      <c r="F20" s="6" t="n">
        <v>46092</v>
      </c>
      <c r="G20" s="5" t="n">
        <v>8</v>
      </c>
      <c r="H20" s="5" t="inlineStr">
        <is>
          <t>Fernando Sutter</t>
        </is>
      </c>
      <c r="I20" s="5" t="inlineStr">
        <is>
          <t>Geovane Schmitt</t>
        </is>
      </c>
      <c r="J20" s="7" t="n">
        <v>9</v>
      </c>
      <c r="K20" s="5" t="inlineStr">
        <is>
          <t>Venda Fácil - Erro Undefined ao Pesquisar o Serviços pelo Nome</t>
        </is>
      </c>
      <c r="L20" s="8" t="inlineStr">
        <is>
          <t>FatInt</t>
        </is>
      </c>
      <c r="M20" s="8" t="inlineStr">
        <is>
          <t>Venda Fácil</t>
        </is>
      </c>
      <c r="N20" s="8" t="inlineStr">
        <is>
          <t>Correção Código</t>
        </is>
      </c>
      <c r="O20" s="9" t="inlineStr">
        <is>
          <t>[Alteração no código] Tratamento para buscar o alias correto da tabela de produtos/serviços</t>
        </is>
      </c>
      <c r="P20" s="10" t="inlineStr">
        <is>
          <t>MODAJOI-99339</t>
        </is>
      </c>
      <c r="Q20" s="10" t="inlineStr">
        <is>
          <t>Código</t>
        </is>
      </c>
      <c r="R20" s="10" t="inlineStr">
        <is>
          <t>Sim</t>
        </is>
      </c>
      <c r="S20" s="10" t="inlineStr">
        <is>
          <t>CD01-Pesquisar Produto e Compartilhar Resultado</t>
        </is>
      </c>
      <c r="T20" s="10" t="inlineStr">
        <is>
          <t>Não se Aplica</t>
        </is>
      </c>
      <c r="U20" s="10" t="inlineStr">
        <is>
          <t>O TA cobre somente pesquisa de produtos e nesse caso a pesquisa era de serviço</t>
        </is>
      </c>
      <c r="V20" s="10" t="inlineStr">
        <is>
          <t>Sim</t>
        </is>
      </c>
      <c r="W20" s="10" t="inlineStr">
        <is>
          <t>Daiane</t>
        </is>
      </c>
      <c r="X20" s="10" t="inlineStr">
        <is>
          <t>Gisele</t>
        </is>
      </c>
      <c r="Y20" s="10" t="inlineStr">
        <is>
          <t>https://jira.linx.com.br/browse/MODAJOI-101105 e https://jira.linx.com.br/browse/MODAJOI-101106</t>
        </is>
      </c>
      <c r="Z20" s="10" t="inlineStr">
        <is>
          <t>Criar TA para erviço</t>
        </is>
      </c>
      <c r="AA20" s="11" t="inlineStr">
        <is>
          <t>Sim</t>
        </is>
      </c>
      <c r="AB20" s="12" t="n">
        <v>46095</v>
      </c>
    </row>
    <row r="21" ht="40" customHeight="1">
      <c r="A21" s="4" t="inlineStr">
        <is>
          <t>MODAJOI-99893</t>
        </is>
      </c>
      <c r="B21" s="5" t="inlineStr">
        <is>
          <t>Venda Fácil - TEF - Não foi possível se comunicar com o Scarf.</t>
        </is>
      </c>
      <c r="C21" s="5" t="inlineStr">
        <is>
          <t>Concluída</t>
        </is>
      </c>
      <c r="D21" s="5" t="inlineStr">
        <is>
          <t>P1 - Alto</t>
        </is>
      </c>
      <c r="E21" s="6" t="n">
        <v>46074</v>
      </c>
      <c r="F21" s="6" t="n">
        <v>46094</v>
      </c>
      <c r="G21" s="5" t="n">
        <v>20</v>
      </c>
      <c r="H21" s="5" t="inlineStr">
        <is>
          <t>Fernando Sutter</t>
        </is>
      </c>
      <c r="I21" s="5" t="n"/>
      <c r="J21" s="15" t="n">
        <v>4</v>
      </c>
      <c r="K21" s="5" t="inlineStr">
        <is>
          <t>Venda Fácil - TEF - Não foi possível se comunicar com o Scarf.</t>
        </is>
      </c>
      <c r="L21" s="8" t="inlineStr">
        <is>
          <t>FatInt</t>
        </is>
      </c>
      <c r="M21" s="8" t="inlineStr">
        <is>
          <t>Venda Fácil</t>
        </is>
      </c>
      <c r="N21" s="8" t="inlineStr">
        <is>
          <t>TEF</t>
        </is>
      </c>
      <c r="O21" s="9" t="inlineStr">
        <is>
          <t>Orientações passadas pelo Teams acerca do "AccessViolationException"</t>
        </is>
      </c>
      <c r="P21" s="10" t="inlineStr">
        <is>
          <t>Não conseguimos simular a causa do problema - Na própria loja não ocorreu mais o problema</t>
        </is>
      </c>
      <c r="Q21" s="10" t="inlineStr">
        <is>
          <t>Terceiros</t>
        </is>
      </c>
      <c r="R21" s="10" t="inlineStr">
        <is>
          <t>Não</t>
        </is>
      </c>
      <c r="S21" s="10" t="n"/>
      <c r="T21" s="10" t="n"/>
      <c r="U21" s="10" t="inlineStr">
        <is>
          <t>O TEF acaba sendo um processo com um grau de dificuldade  maior para a criação do TA</t>
        </is>
      </c>
      <c r="V21" s="10" t="inlineStr">
        <is>
          <t>Não</t>
        </is>
      </c>
      <c r="W21" s="10" t="inlineStr">
        <is>
          <t>Daiane</t>
        </is>
      </c>
      <c r="X21" s="10" t="inlineStr">
        <is>
          <t>Gisele</t>
        </is>
      </c>
      <c r="Y21" s="10" t="n"/>
      <c r="Z21" s="10" t="n"/>
      <c r="AA21" s="11" t="inlineStr">
        <is>
          <t>Sim</t>
        </is>
      </c>
      <c r="AB21" s="12" t="n">
        <v>46095</v>
      </c>
    </row>
    <row r="22" ht="40" customHeight="1">
      <c r="A22" s="4" t="inlineStr">
        <is>
          <t>MODAJOI-100533</t>
        </is>
      </c>
      <c r="B22" s="5" t="inlineStr">
        <is>
          <t>ERP - Erro ao selecionar itens para devolução de compra fácil ==================================</t>
        </is>
      </c>
      <c r="C22" s="5" t="inlineStr">
        <is>
          <t>Concluída</t>
        </is>
      </c>
      <c r="D22" s="5" t="inlineStr">
        <is>
          <t>P1 - Alto</t>
        </is>
      </c>
      <c r="E22" s="6" t="n">
        <v>46091</v>
      </c>
      <c r="F22" s="6" t="n">
        <v>46092</v>
      </c>
      <c r="G22" s="13">
        <f>IF(OR(E22="",F22=""),"",INT(F22-E22))</f>
        <v/>
      </c>
      <c r="H22" s="5" t="inlineStr">
        <is>
          <t>Mariana Franco Fernandes</t>
        </is>
      </c>
      <c r="I22" s="5" t="inlineStr"/>
      <c r="J22" s="5" t="n">
        <v>1</v>
      </c>
      <c r="K22" s="5" t="inlineStr">
        <is>
          <t>ERP - Erro ao selecionar itens para devolução de compra fácil ==================================</t>
        </is>
      </c>
      <c r="L22" s="8" t="inlineStr">
        <is>
          <t>FFC</t>
        </is>
      </c>
      <c r="M22" s="8" t="inlineStr">
        <is>
          <t>NF-e</t>
        </is>
      </c>
      <c r="N22" s="8" t="inlineStr">
        <is>
          <t>Correção Código</t>
        </is>
      </c>
      <c r="O22" s="9" t="inlineStr">
        <is>
          <t>[Alteração no código] Causa: A devolução está sendo gerada porque o sistema encontrou a NF-e de entrada correspondente à chave informada durante o processo de conferência. Como a nota é localizada nas fontes consultadas (XML/integrações), nenhuma referência de conferência é criada, resultando em lista vazia e impedindo a continuidade da devolução: No payload, quando enviamos o produto pra devol...</t>
        </is>
      </c>
      <c r="P22" s="10" t="inlineStr"/>
      <c r="Q22" s="10" t="inlineStr"/>
      <c r="R22" s="10" t="inlineStr">
        <is>
          <t>Sim</t>
        </is>
      </c>
      <c r="S22" s="16" t="inlineStr">
        <is>
          <t>CD01-Entrada de Recusa de Devolução de Compra
CD16 - Devolução de Compras - Devolução Parcial dos Itens.
CD17-Devolução por nota com múltiplas linhas do mesmo produto
(+2 mais)</t>
        </is>
      </c>
      <c r="T22" s="10" t="inlineStr"/>
      <c r="U22" s="10" t="inlineStr"/>
      <c r="V22" s="10" t="inlineStr"/>
      <c r="W22" s="10" t="inlineStr">
        <is>
          <t>Flavia Doge</t>
        </is>
      </c>
      <c r="X22" s="10" t="inlineStr">
        <is>
          <t>Jean Carlos</t>
        </is>
      </c>
      <c r="Y22" s="10" t="inlineStr"/>
      <c r="Z22" s="10" t="inlineStr"/>
      <c r="AA22" s="14" t="inlineStr">
        <is>
          <t>Não</t>
        </is>
      </c>
      <c r="AB22" s="12" t="n">
        <v>46095</v>
      </c>
    </row>
    <row r="23" ht="40" customHeight="1">
      <c r="A23" s="4" t="inlineStr">
        <is>
          <t>MODAJOI-100066</t>
        </is>
      </c>
      <c r="B23" s="5" t="inlineStr">
        <is>
          <t>Relatório de detalhamento de custos duplica valor de FCP -ERP</t>
        </is>
      </c>
      <c r="C23" s="5" t="inlineStr">
        <is>
          <t>Concluída</t>
        </is>
      </c>
      <c r="D23" s="5" t="inlineStr">
        <is>
          <t>P1 - Alto</t>
        </is>
      </c>
      <c r="E23" s="6" t="n">
        <v>46078</v>
      </c>
      <c r="F23" s="6" t="n">
        <v>46092</v>
      </c>
      <c r="G23" s="13">
        <f>IF(OR(E23="",F23=""),"",INT(F23-E23))</f>
        <v/>
      </c>
      <c r="H23" s="5" t="inlineStr">
        <is>
          <t>Jhony Kennyth Viebrantz</t>
        </is>
      </c>
      <c r="I23" s="5" t="inlineStr">
        <is>
          <t>Caroline Becker Gonçalves Corrêa</t>
        </is>
      </c>
      <c r="J23" s="5" t="n">
        <v>1</v>
      </c>
      <c r="K23" s="5" t="inlineStr"/>
      <c r="L23" s="8" t="inlineStr">
        <is>
          <t>Suprimentos</t>
        </is>
      </c>
      <c r="M23" s="8" t="inlineStr"/>
      <c r="N23" s="8" t="inlineStr">
        <is>
          <t>Correção Código</t>
        </is>
      </c>
      <c r="O23" s="9" t="inlineStr">
        <is>
          <t>[Alteração no código] Feito o ajuste conforme Épico MODAJOI-31323 onde é tratado para calcular o FcpStAntecipado quando houver FCPST.</t>
        </is>
      </c>
      <c r="P23" s="10" t="inlineStr"/>
      <c r="Q23" s="10" t="inlineStr"/>
      <c r="R23" s="10" t="inlineStr">
        <is>
          <t>Sim</t>
        </is>
      </c>
      <c r="S23" s="16" t="inlineStr">
        <is>
          <t>CD01-Emissao Do Relatorio Detalhamento de Custos
CD02-Emissao Do Relatorio Detalhamento de Custos - Verificar Coluna Nota Origem
CD03-Emissao Do Relatorio Detalhamento de Custos - Apenas Nota de Entrada
(+2 mais)</t>
        </is>
      </c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4" t="inlineStr">
        <is>
          <t>Não</t>
        </is>
      </c>
      <c r="AB23" s="12" t="n">
        <v>46095</v>
      </c>
    </row>
    <row r="24" ht="40" customHeight="1">
      <c r="A24" s="4" t="inlineStr">
        <is>
          <t>MODAJOI-100650</t>
        </is>
      </c>
      <c r="B24" s="5" t="inlineStr">
        <is>
          <t>ERP - venda não apresenta os dois seguros vendidos ==================================</t>
        </is>
      </c>
      <c r="C24" s="5" t="inlineStr">
        <is>
          <t>Concluída</t>
        </is>
      </c>
      <c r="D24" s="5" t="inlineStr">
        <is>
          <t>P1 - Alto</t>
        </is>
      </c>
      <c r="E24" s="6" t="n">
        <v>46093</v>
      </c>
      <c r="F24" s="6" t="n">
        <v>46093</v>
      </c>
      <c r="G24" s="13">
        <f>IF(OR(E24="",F24=""),"",INT(F24-E24))</f>
        <v/>
      </c>
      <c r="H24" s="5" t="inlineStr">
        <is>
          <t>Anderson Petry</t>
        </is>
      </c>
      <c r="I24" s="5" t="inlineStr">
        <is>
          <t>Anderson Petry</t>
        </is>
      </c>
      <c r="J24" s="5" t="n">
        <v>1</v>
      </c>
      <c r="K24" s="5" t="inlineStr">
        <is>
          <t>ERP - venda não apresenta os dois seguros vendidos ==================================</t>
        </is>
      </c>
      <c r="L24" s="8" t="inlineStr">
        <is>
          <t>FFC</t>
        </is>
      </c>
      <c r="M24" s="8" t="inlineStr">
        <is>
          <t>NF-e</t>
        </is>
      </c>
      <c r="N24" s="8" t="inlineStr">
        <is>
          <t>Banco de Dados</t>
        </is>
      </c>
      <c r="O24" s="9" t="inlineStr">
        <is>
          <t>ao verificar no BD os seguros são listados: e ao conferir no relatório também esta listando.</t>
        </is>
      </c>
      <c r="P24" s="10" t="inlineStr"/>
      <c r="Q24" s="10" t="inlineStr"/>
      <c r="R24" s="10" t="inlineStr">
        <is>
          <t>Sim</t>
        </is>
      </c>
      <c r="S24" s="16" t="inlineStr">
        <is>
          <t>CD18-Venda com Destaque de IPI Com Dois Itens
CD02-Venda com Dois Itens com Cliente Pessoa Física e Troca
CD04-Faturamento Formas Pagamento Pix + Dois Cartoes Credito
(+2 mais)</t>
        </is>
      </c>
      <c r="T24" s="10" t="inlineStr"/>
      <c r="U24" s="10" t="inlineStr"/>
      <c r="V24" s="10" t="inlineStr"/>
      <c r="W24" s="10" t="inlineStr">
        <is>
          <t>Flavia Doge</t>
        </is>
      </c>
      <c r="X24" s="10" t="inlineStr">
        <is>
          <t>Jean Carlos</t>
        </is>
      </c>
      <c r="Y24" s="10" t="inlineStr"/>
      <c r="Z24" s="10" t="inlineStr"/>
      <c r="AA24" s="14" t="inlineStr">
        <is>
          <t>Não</t>
        </is>
      </c>
      <c r="AB24" s="12" t="n">
        <v>46095</v>
      </c>
    </row>
    <row r="25" ht="40" customHeight="1">
      <c r="A25" s="4" t="inlineStr">
        <is>
          <t>MODAJOI-100597</t>
        </is>
      </c>
      <c r="B25" s="5" t="inlineStr">
        <is>
          <t>Erro SQL ao acessar Portal ==================================</t>
        </is>
      </c>
      <c r="C25" s="5" t="inlineStr">
        <is>
          <t>Concluída</t>
        </is>
      </c>
      <c r="D25" s="5" t="inlineStr">
        <is>
          <t>P1 - Alto</t>
        </is>
      </c>
      <c r="E25" s="6" t="n">
        <v>46092</v>
      </c>
      <c r="F25" s="6" t="n">
        <v>46092</v>
      </c>
      <c r="G25" s="13">
        <f>IF(OR(E25="",F25=""),"",INT(F25-E25))</f>
        <v/>
      </c>
      <c r="H25" s="5" t="inlineStr">
        <is>
          <t>Nelson Campagnaro Junior</t>
        </is>
      </c>
      <c r="I25" s="5" t="inlineStr">
        <is>
          <t>Nelson Campagnaro Junior</t>
        </is>
      </c>
      <c r="J25" s="5" t="n">
        <v>1</v>
      </c>
      <c r="K25" s="5" t="inlineStr">
        <is>
          <t>Erro SQL ao acessar Portal ==================================</t>
        </is>
      </c>
      <c r="L25" s="8" t="inlineStr">
        <is>
          <t>Não Mapeado</t>
        </is>
      </c>
      <c r="M25" s="8" t="inlineStr">
        <is>
          <t>Não Mapeado</t>
        </is>
      </c>
      <c r="N25" s="8" t="inlineStr">
        <is>
          <t>Banco de Dados</t>
        </is>
      </c>
      <c r="O25" s="9" t="inlineStr">
        <is>
          <t>Erro de banco de dados causado na reativação do portal via MODAJOI-99848.</t>
        </is>
      </c>
      <c r="P25" s="10" t="inlineStr"/>
      <c r="Q25" s="10" t="inlineStr"/>
      <c r="R25" s="10" t="inlineStr">
        <is>
          <t>Sim</t>
        </is>
      </c>
      <c r="S25" s="16" t="inlineStr">
        <is>
          <t>CD02-Gerar Ticket Manual com Base Central
CD01- Pequisar Portal Multimarca
CD01-Verificar Disponibilidade de Vinculo Para Portal Rede
(+2 mais)</t>
        </is>
      </c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4" t="inlineStr">
        <is>
          <t>Não</t>
        </is>
      </c>
      <c r="AB25" s="12" t="n">
        <v>46095</v>
      </c>
    </row>
    <row r="26" ht="40" customHeight="1">
      <c r="A26" s="4" t="inlineStr">
        <is>
          <t>MODAJOI-100566</t>
        </is>
      </c>
      <c r="B26" s="5" t="inlineStr">
        <is>
          <t>Rejeição 929  CST de Diferimento sem informações - ERP</t>
        </is>
      </c>
      <c r="C26" s="5" t="inlineStr">
        <is>
          <t>Concluída</t>
        </is>
      </c>
      <c r="D26" s="5" t="inlineStr">
        <is>
          <t>P1 - Alto</t>
        </is>
      </c>
      <c r="E26" s="6" t="n">
        <v>46091</v>
      </c>
      <c r="F26" s="6" t="n">
        <v>46093</v>
      </c>
      <c r="G26" s="13">
        <f>IF(OR(E26="",F26=""),"",INT(F26-E26))</f>
        <v/>
      </c>
      <c r="H26" s="5" t="inlineStr">
        <is>
          <t>Jhony Kennyth Viebrantz</t>
        </is>
      </c>
      <c r="I26" s="5" t="inlineStr">
        <is>
          <t>Jhony Kennyth Viebrantz</t>
        </is>
      </c>
      <c r="J26" s="5" t="n">
        <v>0</v>
      </c>
      <c r="K26" s="5" t="inlineStr"/>
      <c r="L26" s="8" t="inlineStr">
        <is>
          <t>Suprimentos</t>
        </is>
      </c>
      <c r="M26" s="8" t="inlineStr"/>
      <c r="N26" s="8" t="inlineStr">
        <is>
          <t>Banco de Dados</t>
        </is>
      </c>
      <c r="O26" s="9" t="inlineStr">
        <is>
          <t>Feito a nota pontualmente, pois a correção efetiva sairá na demanda # MODAJOI-100388</t>
        </is>
      </c>
      <c r="P26" s="10" t="inlineStr"/>
      <c r="Q26" s="10" t="inlineStr"/>
      <c r="R26" s="10" t="inlineStr">
        <is>
          <t>Sim</t>
        </is>
      </c>
      <c r="S26" s="16" t="inlineStr">
        <is>
          <t>CD005-Pre Venda Rejeicao por CST Incorreta
CD15-Devolucao de Compras com uma rejeição da nota
CD01 - Gerar nota de devolução a partir do produto com Venda CST 0.00 com cliente pessoa física do mesmo estado
(+2 mais)</t>
        </is>
      </c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4" t="inlineStr">
        <is>
          <t>Não</t>
        </is>
      </c>
      <c r="AB26" s="12" t="n">
        <v>46095</v>
      </c>
    </row>
    <row r="27" ht="40" customHeight="1">
      <c r="A27" s="4" t="inlineStr">
        <is>
          <t>MODAJOI-100362</t>
        </is>
      </c>
      <c r="B27" s="5" t="inlineStr">
        <is>
          <t>Na rotina ERP &gt; Faturamentos &gt; Exportação de Dados, ao processar a configuração “Electrolux Venda/Cancelamento de Seguros (6461)” no Linx Microvix, as exportações vêm sendo finalizadas de forma int...</t>
        </is>
      </c>
      <c r="C27" s="5" t="inlineStr">
        <is>
          <t>Concluída</t>
        </is>
      </c>
      <c r="D27" s="5" t="inlineStr">
        <is>
          <t>P1 - Alto</t>
        </is>
      </c>
      <c r="E27" s="6" t="n">
        <v>46085</v>
      </c>
      <c r="F27" s="6" t="n">
        <v>46094</v>
      </c>
      <c r="G27" s="13">
        <f>IF(OR(E27="",F27=""),"",INT(F27-E27))</f>
        <v/>
      </c>
      <c r="H27" s="5" t="inlineStr">
        <is>
          <t>Anderson Petry</t>
        </is>
      </c>
      <c r="I27" s="5" t="inlineStr">
        <is>
          <t>Anderson Petry</t>
        </is>
      </c>
      <c r="J27" s="5" t="n">
        <v>0</v>
      </c>
      <c r="K27" s="5" t="inlineStr">
        <is>
          <t>Na rotina ERP &gt; Faturamentos &gt; Exportação de Dados, ao processar a configuração “Electrolux Venda/Cancelamento de Seguros (6461)” no Linx Microvix, as exportações vêm sendo finalizadas de forma intermitente com o status “Concluído com erro”, conforme demonstrado no histórico de processamentos (ID...</t>
        </is>
      </c>
      <c r="L27" s="8" t="inlineStr">
        <is>
          <t>Não Mapeado</t>
        </is>
      </c>
      <c r="M27" s="8" t="inlineStr">
        <is>
          <t>Não Mapeado</t>
        </is>
      </c>
      <c r="N27" s="8" t="inlineStr">
        <is>
          <t>Configuração</t>
        </is>
      </c>
      <c r="O27" s="9" t="inlineStr">
        <is>
          <t>verificado que está sendo gerado normalmente, e o problema reportado foi de uma venda de seguro onde faltava subir pra nuvem o plano de pagamento de seguro, provalvemte teve uma rejeição de NFe e depois a venda foi alterada para NFCe. Feito o retroativo, caso surja um novo caso pegar o log do POS. Correção liberada na versão abaixo https://setupbr.microvix.com.br/homologacao-manualonly/LinxMicr...</t>
        </is>
      </c>
      <c r="P27" s="10" t="inlineStr"/>
      <c r="Q27" s="10" t="inlineStr"/>
      <c r="R27" s="10" t="inlineStr">
        <is>
          <t>Sim</t>
        </is>
      </c>
      <c r="S27" s="16" t="inlineStr">
        <is>
          <t>CD04-Realizar uma Venda Mista e Cancelamento do Pedido
CD05-Realizar uma Venda Vitrine e Cancelar o Pedido
CD05-Implantacao de Novo Portal - Informar Dados Bancarios
(+2 mais)</t>
        </is>
      </c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4" t="inlineStr">
        <is>
          <t>Não</t>
        </is>
      </c>
      <c r="AB27" s="12" t="n">
        <v>46095</v>
      </c>
    </row>
  </sheetData>
  <dataValidations count="5">
    <dataValidation sqref="Q2:Q77" showDropDown="0" showInputMessage="0" showErrorMessage="0" allowBlank="1" type="list">
      <formula1>"Código,Banco de Dados,Infraestrutura,Terceiros"</formula1>
    </dataValidation>
    <dataValidation sqref="R2:R77" showDropDown="0" showInputMessage="0" showErrorMessage="0" allowBlank="1" type="list">
      <formula1>"Sim,Não"</formula1>
    </dataValidation>
    <dataValidation sqref="T2:T77" showDropDown="0" showInputMessage="0" showErrorMessage="0" allowBlank="1" type="list">
      <formula1>"Detectou problema,Não detectou,Não se Aplica"</formula1>
    </dataValidation>
    <dataValidation sqref="V2:V77" showDropDown="0" showInputMessage="0" showErrorMessage="0" allowBlank="1" type="list">
      <formula1>"Sim,Não"</formula1>
    </dataValidation>
    <dataValidation sqref="AA2:AA77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16" customWidth="1" min="2" max="2"/>
    <col width="22" customWidth="1" min="3" max="3"/>
    <col width="22" customWidth="1" min="4" max="4"/>
    <col width="45" customWidth="1" min="5" max="5"/>
    <col width="18" customWidth="1" min="6" max="6"/>
    <col width="14" customWidth="1" min="7" max="7"/>
    <col width="14" customWidth="1" min="8" max="8"/>
    <col width="40" customWidth="1" min="9" max="9"/>
  </cols>
  <sheetData>
    <row r="1" ht="32" customHeight="1">
      <c r="A1" s="17" t="inlineStr">
        <is>
          <t>Issue Acompanhamento</t>
        </is>
      </c>
      <c r="B1" s="17" t="inlineStr">
        <is>
          <t>Issue Original</t>
        </is>
      </c>
      <c r="C1" s="17" t="inlineStr">
        <is>
          <t>Responsável</t>
        </is>
      </c>
      <c r="D1" s="17" t="inlineStr">
        <is>
          <t>Área</t>
        </is>
      </c>
      <c r="E1" s="17" t="inlineStr">
        <is>
          <t>Ação</t>
        </is>
      </c>
      <c r="F1" s="17" t="inlineStr">
        <is>
          <t>Status da Ação</t>
        </is>
      </c>
      <c r="G1" s="17" t="inlineStr">
        <is>
          <t>Data Limite</t>
        </is>
      </c>
      <c r="H1" s="17" t="inlineStr">
        <is>
          <t>Data Conclusão</t>
        </is>
      </c>
      <c r="I1" s="17" t="inlineStr">
        <is>
          <t>Observação</t>
        </is>
      </c>
    </row>
    <row r="2" ht="20" customHeight="1">
      <c r="A2" s="18" t="inlineStr">
        <is>
          <t>240301</t>
        </is>
      </c>
      <c r="B2" s="19" t="inlineStr">
        <is>
          <t>MODAJOI-100934</t>
        </is>
      </c>
      <c r="C2" s="20" t="inlineStr">
        <is>
          <t>Altimara</t>
        </is>
      </c>
      <c r="D2" s="20" t="inlineStr">
        <is>
          <t>Sustentação</t>
        </is>
      </c>
      <c r="E2" s="20" t="inlineStr">
        <is>
          <t>Criar mais um cenário para PJ</t>
        </is>
      </c>
      <c r="F2" s="21" t="inlineStr">
        <is>
          <t>Análise</t>
        </is>
      </c>
      <c r="G2" s="20" t="n"/>
      <c r="H2" s="20" t="n"/>
      <c r="I2" s="22" t="inlineStr"/>
    </row>
    <row r="3" ht="20" customHeight="1">
      <c r="A3" s="18" t="inlineStr">
        <is>
          <t>240302</t>
        </is>
      </c>
      <c r="B3" s="19" t="inlineStr">
        <is>
          <t>MODAJOI-100979</t>
        </is>
      </c>
      <c r="C3" s="20" t="inlineStr">
        <is>
          <t>Alessandra/Murilo</t>
        </is>
      </c>
      <c r="D3" s="20" t="inlineStr">
        <is>
          <t>Arquitetura</t>
        </is>
      </c>
      <c r="E3" s="20" t="inlineStr">
        <is>
          <t>Verificar uma maneira de, assim como trocamos de ambiente, fazer a troca para usuários para rodar os testes (ao menos CI/CD) automatizados de forma geral</t>
        </is>
      </c>
      <c r="F3" s="21" t="inlineStr">
        <is>
          <t>Análise</t>
        </is>
      </c>
      <c r="G3" s="20" t="n"/>
      <c r="H3" s="20" t="n"/>
      <c r="I3" s="22" t="inlineStr"/>
    </row>
    <row r="4" ht="20" customHeight="1">
      <c r="A4" s="18" t="inlineStr">
        <is>
          <t>Pendente 5</t>
        </is>
      </c>
      <c r="B4" s="19" t="inlineStr">
        <is>
          <t>MODAJOI-100396</t>
        </is>
      </c>
      <c r="C4" s="20" t="inlineStr">
        <is>
          <t>Deivis</t>
        </is>
      </c>
      <c r="D4" s="20" t="inlineStr">
        <is>
          <t>Sustentação</t>
        </is>
      </c>
      <c r="E4" s="20" t="inlineStr">
        <is>
          <t>Cobrar o fornecedor uma solução definitiva</t>
        </is>
      </c>
      <c r="F4" s="23" t="inlineStr">
        <is>
          <t>Andamento</t>
        </is>
      </c>
      <c r="G4" s="20" t="n"/>
      <c r="H4" s="20" t="n"/>
      <c r="I4" s="22" t="inlineStr">
        <is>
          <t>24/03 – Já foi cobrado e o Fornecedor informa que ainda está avaliando.</t>
        </is>
      </c>
    </row>
    <row r="5" ht="20" customHeight="1">
      <c r="A5" s="18" t="inlineStr">
        <is>
          <t>Pendente</t>
        </is>
      </c>
      <c r="B5" s="19" t="inlineStr">
        <is>
          <t>MODAJOI-100652</t>
        </is>
      </c>
      <c r="C5" s="20" t="inlineStr">
        <is>
          <t>Altimara</t>
        </is>
      </c>
      <c r="D5" s="20" t="inlineStr">
        <is>
          <t>Sustentação</t>
        </is>
      </c>
      <c r="E5" s="20" t="inlineStr">
        <is>
          <t>Criar Teste Automatizado</t>
        </is>
      </c>
      <c r="F5" s="21" t="inlineStr">
        <is>
          <t>Análise</t>
        </is>
      </c>
      <c r="G5" s="20" t="n"/>
      <c r="H5" s="20" t="n"/>
      <c r="I5" s="22" t="inlineStr"/>
    </row>
    <row r="6" ht="20" customHeight="1">
      <c r="A6" s="18" t="inlineStr">
        <is>
          <t>Pendente 5</t>
        </is>
      </c>
      <c r="B6" s="19" t="inlineStr">
        <is>
          <t>MODAJOI-100187</t>
        </is>
      </c>
      <c r="C6" s="20" t="inlineStr">
        <is>
          <t>Deivis</t>
        </is>
      </c>
      <c r="D6" s="20" t="inlineStr">
        <is>
          <t>Sustentação</t>
        </is>
      </c>
      <c r="E6" s="20" t="inlineStr">
        <is>
          <t>Cobrar o fornecedor uma solução definitiva</t>
        </is>
      </c>
      <c r="F6" s="23" t="inlineStr">
        <is>
          <t>Andamento</t>
        </is>
      </c>
      <c r="G6" s="20" t="n"/>
      <c r="H6" s="20" t="n"/>
      <c r="I6" s="22" t="inlineStr">
        <is>
          <t>24/03 – Já foi cobrado e o Fornecedor informa que ainda está avaliando.</t>
        </is>
      </c>
    </row>
    <row r="7" ht="20" customHeight="1">
      <c r="A7" s="18" t="inlineStr">
        <is>
          <t>https://jira.linx.com.br/browse/MODAJOI-101142</t>
        </is>
      </c>
      <c r="B7" s="19" t="inlineStr">
        <is>
          <t>MODAJOI-100578</t>
        </is>
      </c>
      <c r="C7" s="20" t="inlineStr">
        <is>
          <t>Ademir</t>
        </is>
      </c>
      <c r="D7" s="20" t="inlineStr">
        <is>
          <t>FatInt</t>
        </is>
      </c>
      <c r="E7" s="20" t="inlineStr">
        <is>
          <t>Analisar e criar TA se houver possibilidade</t>
        </is>
      </c>
      <c r="F7" s="23" t="inlineStr">
        <is>
          <t>Andamento</t>
        </is>
      </c>
      <c r="G7" s="20" t="n"/>
      <c r="H7" s="20" t="n"/>
      <c r="I7" s="22" t="inlineStr"/>
    </row>
    <row r="8" ht="20" customHeight="1">
      <c r="A8" s="18" t="inlineStr">
        <is>
          <t>Pendente 4</t>
        </is>
      </c>
      <c r="B8" s="19" t="inlineStr">
        <is>
          <t>MODAJOI-100461</t>
        </is>
      </c>
      <c r="C8" s="20" t="inlineStr">
        <is>
          <t>Deivis</t>
        </is>
      </c>
      <c r="D8" s="20" t="inlineStr">
        <is>
          <t>Sustentação</t>
        </is>
      </c>
      <c r="E8" s="20" t="inlineStr">
        <is>
          <t>Fazer uma busca para validar se a blindagem pela quantidade para a sincronização de perdeu</t>
        </is>
      </c>
      <c r="F8" s="24" t="inlineStr">
        <is>
          <t>Concluído</t>
        </is>
      </c>
      <c r="G8" s="20" t="n"/>
      <c r="H8" s="25" t="n">
        <v>46105</v>
      </c>
      <c r="I8" s="22" t="inlineStr">
        <is>
          <t>Será aberto um bug interno para corrigir a situação.</t>
        </is>
      </c>
    </row>
    <row r="9" ht="20" customHeight="1">
      <c r="A9" s="18" t="inlineStr">
        <is>
          <t>https://jira.linx.com.br/browse/MODAJOI-101007</t>
        </is>
      </c>
      <c r="B9" s="19" t="inlineStr">
        <is>
          <t>MODAJOI-100418</t>
        </is>
      </c>
      <c r="C9" s="20" t="inlineStr">
        <is>
          <t>Ademir</t>
        </is>
      </c>
      <c r="D9" s="20" t="inlineStr">
        <is>
          <t>FatInt</t>
        </is>
      </c>
      <c r="E9" s="20" t="inlineStr">
        <is>
          <t xml:space="preserve">Criar um item para analisar a correção definitiva as Rejeições 865 e 866 </t>
        </is>
      </c>
      <c r="F9" s="23" t="inlineStr">
        <is>
          <t>Andamento</t>
        </is>
      </c>
      <c r="G9" s="20" t="n"/>
      <c r="H9" s="20" t="n"/>
      <c r="I9" s="22" t="inlineStr"/>
    </row>
    <row r="10" ht="20" customHeight="1">
      <c r="A10" s="18" t="inlineStr">
        <is>
          <t>https://jira.linx.com.br/browse/MODAJOI-101105 e https://jira.linx.com.br/browse/MODAJOI-101106</t>
        </is>
      </c>
      <c r="B10" s="19" t="inlineStr">
        <is>
          <t>MODAJOI-100270</t>
        </is>
      </c>
      <c r="C10" s="20" t="inlineStr">
        <is>
          <t>Debora</t>
        </is>
      </c>
      <c r="D10" s="20" t="inlineStr">
        <is>
          <t>Sustentação</t>
        </is>
      </c>
      <c r="E10" s="20" t="inlineStr">
        <is>
          <t>Criar Teste Automatizado</t>
        </is>
      </c>
      <c r="F10" s="23" t="inlineStr">
        <is>
          <t>Andamento</t>
        </is>
      </c>
      <c r="G10" s="20" t="n"/>
      <c r="H10" s="20" t="n"/>
      <c r="I10" s="22" t="inlineStr"/>
    </row>
    <row r="11" ht="20" customHeight="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</row>
    <row r="12" ht="20" customHeight="1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 ht="20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</row>
    <row r="14" ht="20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</row>
    <row r="15" ht="20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20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</row>
    <row r="17" ht="20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</row>
    <row r="18" ht="20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</row>
    <row r="19" ht="20" customHeight="1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</row>
    <row r="20" ht="20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ht="20" customHeight="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</sheetData>
  <dataValidations count="2">
    <dataValidation sqref="F2:F60" showDropDown="0" showInputMessage="0" showErrorMessage="0" allowBlank="1" type="list">
      <formula1>"Análise,Andamento,Bloqueado,Concluído"</formula1>
    </dataValidation>
    <dataValidation sqref="D2:D60" showDropDown="0" showInputMessage="0" showErrorMessage="0" allowBlank="1" type="list">
      <formula1>"FFC,FatInt,SupCrmImp,Sustentação,Arquitetura"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2" customWidth="1" min="2" max="2"/>
    <col width="15" customWidth="1" min="3" max="3"/>
    <col width="13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3" customWidth="1" min="10" max="10"/>
    <col width="40" customWidth="1" min="11" max="11"/>
    <col width="16" customWidth="1" min="12" max="12"/>
    <col width="18" customWidth="1" min="13" max="13"/>
    <col width="18" customWidth="1" min="14" max="14"/>
    <col width="50" customWidth="1" min="15" max="15"/>
    <col width="40" customWidth="1" min="16" max="16"/>
    <col width="22" customWidth="1" min="17" max="17"/>
    <col width="14" customWidth="1" min="18" max="18"/>
    <col width="35" customWidth="1" min="19" max="19"/>
    <col width="20" customWidth="1" min="20" max="20"/>
    <col width="40" customWidth="1" min="21" max="21"/>
    <col width="18" customWidth="1" min="22" max="22"/>
    <col width="18" customWidth="1" min="23" max="23"/>
    <col width="18" customWidth="1" min="24" max="24"/>
    <col width="18" customWidth="1" min="25" max="25"/>
    <col width="32" customWidth="1" min="26" max="26"/>
    <col width="16" customWidth="1" min="27" max="27"/>
  </cols>
  <sheetData>
    <row r="1" ht="32" customHeight="1">
      <c r="A1" s="27" t="inlineStr">
        <is>
          <t>Key</t>
        </is>
      </c>
      <c r="B1" s="27" t="inlineStr">
        <is>
          <t>Resumo</t>
        </is>
      </c>
      <c r="C1" s="27" t="inlineStr">
        <is>
          <t>Status Jira</t>
        </is>
      </c>
      <c r="D1" s="27" t="inlineStr">
        <is>
          <t>Prioridade</t>
        </is>
      </c>
      <c r="E1" s="27" t="inlineStr">
        <is>
          <t>Data Criação</t>
        </is>
      </c>
      <c r="F1" s="27" t="inlineStr">
        <is>
          <t>Data Resolução</t>
        </is>
      </c>
      <c r="G1" s="27" t="inlineStr">
        <is>
          <t>Dias p/ Resolver</t>
        </is>
      </c>
      <c r="H1" s="27" t="inlineStr">
        <is>
          <t>DeV Responsável pelo Bug</t>
        </is>
      </c>
      <c r="I1" s="27" t="inlineStr">
        <is>
          <t>QA Responsável pelo Bug</t>
        </is>
      </c>
      <c r="J1" s="27" t="inlineStr">
        <is>
          <t>Qtd Vínculos</t>
        </is>
      </c>
      <c r="K1" s="27" t="inlineStr">
        <is>
          <t>Causa Raiz</t>
        </is>
      </c>
      <c r="L1" s="27" t="inlineStr">
        <is>
          <t>Time</t>
        </is>
      </c>
      <c r="M1" s="27" t="inlineStr">
        <is>
          <t>Área</t>
        </is>
      </c>
      <c r="N1" s="27" t="inlineStr">
        <is>
          <t>Tipo Erro (Auto)</t>
        </is>
      </c>
      <c r="O1" s="27" t="inlineStr">
        <is>
          <t>Ação Realizada no Bug</t>
        </is>
      </c>
      <c r="P1" s="27" t="inlineStr">
        <is>
          <t>Análise da Causa</t>
        </is>
      </c>
      <c r="Q1" s="27" t="inlineStr">
        <is>
          <t>Tipo de Ajuste</t>
        </is>
      </c>
      <c r="R1" s="27" t="inlineStr">
        <is>
          <t>Possui TA</t>
        </is>
      </c>
      <c r="S1" s="27" t="inlineStr">
        <is>
          <t>Arquivo TA</t>
        </is>
      </c>
      <c r="T1" s="27" t="inlineStr">
        <is>
          <t>Resultado da Automação</t>
        </is>
      </c>
      <c r="U1" s="27" t="inlineStr">
        <is>
          <t>Contexto</t>
        </is>
      </c>
      <c r="V1" s="27" t="inlineStr">
        <is>
          <t>Problema Resolvido?</t>
        </is>
      </c>
      <c r="W1" s="27" t="inlineStr">
        <is>
          <t>QA Principal</t>
        </is>
      </c>
      <c r="X1" s="27" t="inlineStr">
        <is>
          <t>Dev Principal</t>
        </is>
      </c>
      <c r="Y1" s="27" t="inlineStr">
        <is>
          <t>Issue de Acompanhamento</t>
        </is>
      </c>
      <c r="Z1" s="27" t="inlineStr">
        <is>
          <t>Plano Ação/Lição Aprendida</t>
        </is>
      </c>
      <c r="AA1" s="27" t="inlineStr">
        <is>
          <t>Data Arquivamento</t>
        </is>
      </c>
    </row>
    <row r="4">
      <c r="A4" s="28" t="inlineStr">
        <is>
          <t>ℹ️ Issues com Analisado=Sim importadas há mais de 30 dias são movidas para esta aba automaticamente.</t>
        </is>
      </c>
    </row>
  </sheetData>
  <mergeCells count="1">
    <mergeCell ref="A4:AA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7" t="inlineStr">
        <is>
          <t>Time</t>
        </is>
      </c>
      <c r="B1" s="17" t="inlineStr">
        <is>
          <t>Área</t>
        </is>
      </c>
      <c r="C1" s="17" t="inlineStr">
        <is>
          <t>QA Principal</t>
        </is>
      </c>
      <c r="D1" s="17" t="inlineStr">
        <is>
          <t>QA Secundário</t>
        </is>
      </c>
      <c r="E1" s="17" t="inlineStr">
        <is>
          <t>Dev Principal</t>
        </is>
      </c>
      <c r="F1" s="17" t="inlineStr">
        <is>
          <t>Dev Secundário</t>
        </is>
      </c>
    </row>
    <row r="2">
      <c r="A2" s="29" t="inlineStr">
        <is>
          <t>Suprimentos</t>
        </is>
      </c>
      <c r="B2" s="29" t="inlineStr">
        <is>
          <t>Entrada XML</t>
        </is>
      </c>
      <c r="C2" s="29" t="inlineStr">
        <is>
          <t>Jenifer Lopes</t>
        </is>
      </c>
      <c r="D2" s="29" t="inlineStr">
        <is>
          <t>Guilherme Rocha</t>
        </is>
      </c>
      <c r="E2" s="29" t="inlineStr">
        <is>
          <t>Vinícius Souza Martins</t>
        </is>
      </c>
      <c r="F2" s="29" t="inlineStr">
        <is>
          <t>Willian Dias Brito</t>
        </is>
      </c>
    </row>
    <row r="3">
      <c r="A3" s="30" t="inlineStr">
        <is>
          <t>Suprimentos</t>
        </is>
      </c>
      <c r="B3" s="30" t="inlineStr">
        <is>
          <t>Balanço</t>
        </is>
      </c>
      <c r="C3" s="30" t="inlineStr">
        <is>
          <t>Ana Paula Coelho</t>
        </is>
      </c>
      <c r="D3" s="30" t="inlineStr">
        <is>
          <t>Guilherme Rocha</t>
        </is>
      </c>
      <c r="E3" s="30" t="inlineStr">
        <is>
          <t>Willian Dias Brito</t>
        </is>
      </c>
      <c r="F3" s="30" t="inlineStr">
        <is>
          <t>João Vitor Leone</t>
        </is>
      </c>
    </row>
    <row r="4">
      <c r="A4" s="29" t="inlineStr">
        <is>
          <t>Suprimentos</t>
        </is>
      </c>
      <c r="B4" s="29" t="inlineStr">
        <is>
          <t>Compras 2.0</t>
        </is>
      </c>
      <c r="C4" s="29" t="inlineStr">
        <is>
          <t>Guilherme Rocha</t>
        </is>
      </c>
      <c r="D4" s="29" t="inlineStr">
        <is>
          <t>Jenifer Lopes</t>
        </is>
      </c>
      <c r="E4" s="29" t="inlineStr">
        <is>
          <t>Rafael Flecha</t>
        </is>
      </c>
      <c r="F4" s="29" t="inlineStr">
        <is>
          <t>Mauricio Maia</t>
        </is>
      </c>
    </row>
    <row r="5">
      <c r="A5" s="30" t="inlineStr">
        <is>
          <t>FFC</t>
        </is>
      </c>
      <c r="B5" s="30" t="inlineStr">
        <is>
          <t>Conciliadores</t>
        </is>
      </c>
      <c r="C5" s="30" t="inlineStr">
        <is>
          <t>Michelle Pereira</t>
        </is>
      </c>
      <c r="D5" s="30" t="inlineStr"/>
      <c r="E5" s="30" t="n"/>
      <c r="F5" s="30" t="inlineStr"/>
    </row>
    <row r="6">
      <c r="A6" s="29" t="inlineStr">
        <is>
          <t>FFC</t>
        </is>
      </c>
      <c r="B6" s="29" t="inlineStr">
        <is>
          <t>Gestão Financeira</t>
        </is>
      </c>
      <c r="C6" s="29" t="inlineStr">
        <is>
          <t>Michelle Pereira</t>
        </is>
      </c>
      <c r="D6" s="29" t="inlineStr"/>
      <c r="E6" s="29" t="inlineStr">
        <is>
          <t>Fabio Elias</t>
        </is>
      </c>
      <c r="F6" s="29" t="inlineStr"/>
    </row>
    <row r="7">
      <c r="A7" s="30" t="inlineStr">
        <is>
          <t>FFC</t>
        </is>
      </c>
      <c r="B7" s="30" t="inlineStr">
        <is>
          <t>NF-e</t>
        </is>
      </c>
      <c r="C7" s="30" t="inlineStr">
        <is>
          <t>Flavia Doge</t>
        </is>
      </c>
      <c r="D7" s="30" t="inlineStr"/>
      <c r="E7" s="30" t="inlineStr">
        <is>
          <t>Jean Carlos</t>
        </is>
      </c>
      <c r="F7" s="30" t="inlineStr"/>
    </row>
    <row r="8">
      <c r="A8" s="29" t="inlineStr">
        <is>
          <t>FFC</t>
        </is>
      </c>
      <c r="B8" s="29" t="inlineStr">
        <is>
          <t>Rejeições</t>
        </is>
      </c>
      <c r="C8" s="29" t="inlineStr">
        <is>
          <t>Flavia Doge</t>
        </is>
      </c>
      <c r="D8" s="29" t="inlineStr"/>
      <c r="E8" s="29" t="inlineStr">
        <is>
          <t>Jean Carlos</t>
        </is>
      </c>
      <c r="F8" s="29" t="inlineStr"/>
    </row>
    <row r="9">
      <c r="A9" s="30" t="inlineStr">
        <is>
          <t>FFC</t>
        </is>
      </c>
      <c r="B9" s="30" t="inlineStr">
        <is>
          <t>Conferencia de Caixa</t>
        </is>
      </c>
      <c r="C9" s="30" t="inlineStr">
        <is>
          <t>Flavia Doge</t>
        </is>
      </c>
      <c r="D9" s="30" t="inlineStr"/>
      <c r="E9" s="30" t="inlineStr">
        <is>
          <t>Jean Carlos</t>
        </is>
      </c>
      <c r="F9" s="30" t="inlineStr"/>
    </row>
    <row r="10">
      <c r="A10" s="29" t="inlineStr">
        <is>
          <t>FatInt</t>
        </is>
      </c>
      <c r="B10" s="29" t="inlineStr">
        <is>
          <t>POS</t>
        </is>
      </c>
      <c r="C10" s="29" t="inlineStr">
        <is>
          <t>Vicente</t>
        </is>
      </c>
      <c r="D10" s="29" t="inlineStr">
        <is>
          <t>Daiane</t>
        </is>
      </c>
      <c r="E10" s="29" t="inlineStr">
        <is>
          <t>Luis</t>
        </is>
      </c>
      <c r="F10" s="29" t="inlineStr"/>
    </row>
    <row r="11">
      <c r="A11" s="30" t="inlineStr">
        <is>
          <t>FatInt</t>
        </is>
      </c>
      <c r="B11" s="30" t="inlineStr">
        <is>
          <t>Venda Fácil</t>
        </is>
      </c>
      <c r="C11" s="30" t="inlineStr">
        <is>
          <t>Daiane</t>
        </is>
      </c>
      <c r="D11" s="30" t="inlineStr">
        <is>
          <t>Vicente</t>
        </is>
      </c>
      <c r="E11" s="30" t="inlineStr">
        <is>
          <t>Gisele</t>
        </is>
      </c>
      <c r="F11" s="30" t="inlineStr"/>
    </row>
    <row r="12">
      <c r="A12" s="29" t="inlineStr">
        <is>
          <t>FatInt</t>
        </is>
      </c>
      <c r="B12" s="29" t="inlineStr">
        <is>
          <t>Trocas</t>
        </is>
      </c>
      <c r="C12" s="29" t="inlineStr">
        <is>
          <t>Maica</t>
        </is>
      </c>
      <c r="D12" s="29" t="inlineStr">
        <is>
          <t>Daiane</t>
        </is>
      </c>
      <c r="E12" s="29" t="inlineStr">
        <is>
          <t>Luis</t>
        </is>
      </c>
      <c r="F12" s="29" t="inlineStr">
        <is>
          <t>Raul</t>
        </is>
      </c>
    </row>
    <row r="13">
      <c r="A13" s="30" t="inlineStr">
        <is>
          <t>FatInt</t>
        </is>
      </c>
      <c r="B13" s="30" t="inlineStr">
        <is>
          <t>Ótico</t>
        </is>
      </c>
      <c r="C13" s="30" t="inlineStr">
        <is>
          <t>Daiane</t>
        </is>
      </c>
      <c r="D13" s="30" t="inlineStr">
        <is>
          <t>Maica</t>
        </is>
      </c>
      <c r="E13" s="30" t="inlineStr">
        <is>
          <t>Gisele</t>
        </is>
      </c>
      <c r="F13" s="30" t="inlineStr">
        <is>
          <t>Letícia</t>
        </is>
      </c>
    </row>
    <row r="14">
      <c r="A14" s="29" t="inlineStr">
        <is>
          <t>FatInt</t>
        </is>
      </c>
      <c r="B14" s="29" t="inlineStr">
        <is>
          <t>B2C</t>
        </is>
      </c>
      <c r="C14" s="29" t="inlineStr">
        <is>
          <t>Vicente</t>
        </is>
      </c>
      <c r="D14" s="29" t="inlineStr"/>
      <c r="E14" s="29" t="inlineStr">
        <is>
          <t>Amanda</t>
        </is>
      </c>
      <c r="F14" s="29" t="inlineStr">
        <is>
          <t>Luis</t>
        </is>
      </c>
    </row>
    <row r="15">
      <c r="A15" s="30" t="inlineStr">
        <is>
          <t>FatInt</t>
        </is>
      </c>
      <c r="B15" s="30" t="inlineStr">
        <is>
          <t>Importadores</t>
        </is>
      </c>
      <c r="C15" s="30" t="inlineStr">
        <is>
          <t>Vicente</t>
        </is>
      </c>
      <c r="D15" s="30" t="inlineStr">
        <is>
          <t>Daiane</t>
        </is>
      </c>
      <c r="E15" s="30" t="inlineStr">
        <is>
          <t>Marcus</t>
        </is>
      </c>
      <c r="F15" s="30" t="inlineStr"/>
    </row>
    <row r="16">
      <c r="A16" s="29" t="inlineStr">
        <is>
          <t>FatInt</t>
        </is>
      </c>
      <c r="B16" s="29" t="inlineStr">
        <is>
          <t>Gerador de Relatórios</t>
        </is>
      </c>
      <c r="C16" s="29" t="inlineStr">
        <is>
          <t>Vicente</t>
        </is>
      </c>
      <c r="D16" s="29" t="inlineStr">
        <is>
          <t>Maica</t>
        </is>
      </c>
      <c r="E16" s="29" t="inlineStr">
        <is>
          <t>Letícia</t>
        </is>
      </c>
      <c r="F16" s="29" t="inlineStr"/>
    </row>
    <row r="17">
      <c r="A17" s="30" t="inlineStr">
        <is>
          <t>FatInt</t>
        </is>
      </c>
      <c r="B17" s="30" t="inlineStr">
        <is>
          <t>Serviços e Painel NFse</t>
        </is>
      </c>
      <c r="C17" s="30" t="inlineStr">
        <is>
          <t>Maica</t>
        </is>
      </c>
      <c r="D17" s="30" t="inlineStr"/>
      <c r="E17" s="30" t="inlineStr">
        <is>
          <t>Guilherme</t>
        </is>
      </c>
      <c r="F17" s="30" t="inlineStr">
        <is>
          <t>Marcus</t>
        </is>
      </c>
    </row>
    <row r="18">
      <c r="A18" s="29" t="inlineStr">
        <is>
          <t>FatInt</t>
        </is>
      </c>
      <c r="B18" s="29" t="inlineStr">
        <is>
          <t>SmartPOS</t>
        </is>
      </c>
      <c r="C18" s="29" t="inlineStr">
        <is>
          <t>Daiane</t>
        </is>
      </c>
      <c r="D18" s="29" t="inlineStr">
        <is>
          <t>Maica</t>
        </is>
      </c>
      <c r="E18" s="29" t="inlineStr">
        <is>
          <t>Guilherme</t>
        </is>
      </c>
      <c r="F18" s="29" t="inlineStr"/>
    </row>
    <row r="19">
      <c r="A19" s="30" t="inlineStr">
        <is>
          <t>FatInt</t>
        </is>
      </c>
      <c r="B19" s="30" t="inlineStr">
        <is>
          <t>Catalogo Digital</t>
        </is>
      </c>
      <c r="C19" s="30" t="inlineStr">
        <is>
          <t>Vicente</t>
        </is>
      </c>
      <c r="D19" s="30" t="inlineStr">
        <is>
          <t>Daiane</t>
        </is>
      </c>
      <c r="E19" s="30" t="inlineStr">
        <is>
          <t>Raul</t>
        </is>
      </c>
      <c r="F19" s="30" t="inlineStr"/>
    </row>
    <row r="20">
      <c r="A20" s="29" t="inlineStr">
        <is>
          <t>FatInt</t>
        </is>
      </c>
      <c r="B20" s="29" t="inlineStr">
        <is>
          <t>Venda de Seguros</t>
        </is>
      </c>
      <c r="C20" s="29" t="inlineStr">
        <is>
          <t>Maica</t>
        </is>
      </c>
      <c r="D20" s="29" t="inlineStr"/>
      <c r="E20" s="29" t="inlineStr">
        <is>
          <t>Marcus</t>
        </is>
      </c>
      <c r="F20" s="29" t="inlineStr"/>
    </row>
    <row r="21">
      <c r="A21" s="30" t="inlineStr">
        <is>
          <t>FatInt</t>
        </is>
      </c>
      <c r="B21" s="30" t="inlineStr">
        <is>
          <t>Reshop</t>
        </is>
      </c>
      <c r="C21" s="30" t="inlineStr">
        <is>
          <t>Daiane</t>
        </is>
      </c>
      <c r="D21" s="30" t="inlineStr">
        <is>
          <t>Vicente</t>
        </is>
      </c>
      <c r="E21" s="30" t="inlineStr">
        <is>
          <t>Letícia</t>
        </is>
      </c>
      <c r="F21" s="30" t="inlineStr"/>
    </row>
    <row r="22">
      <c r="A22" s="29" t="inlineStr">
        <is>
          <t>FatInt</t>
        </is>
      </c>
      <c r="B22" s="29" t="inlineStr">
        <is>
          <t>Remessas e Retornos</t>
        </is>
      </c>
      <c r="C22" s="29" t="inlineStr">
        <is>
          <t>Daiane</t>
        </is>
      </c>
      <c r="D22" s="29" t="inlineStr"/>
      <c r="E22" s="29" t="inlineStr">
        <is>
          <t>Otávio</t>
        </is>
      </c>
      <c r="F22" s="29" t="inlineStr"/>
    </row>
    <row r="23">
      <c r="A23" s="30" t="inlineStr">
        <is>
          <t>FatInt</t>
        </is>
      </c>
      <c r="B23" s="30" t="inlineStr">
        <is>
          <t>TEF</t>
        </is>
      </c>
      <c r="C23" s="30" t="inlineStr">
        <is>
          <t>Maica</t>
        </is>
      </c>
      <c r="D23" s="30" t="inlineStr">
        <is>
          <t>Vicente</t>
        </is>
      </c>
      <c r="E23" s="30" t="inlineStr">
        <is>
          <t>Otávio</t>
        </is>
      </c>
      <c r="F23" s="30" t="inlineStr"/>
    </row>
    <row r="25">
      <c r="A25" s="28" t="inlineStr">
        <is>
          <t>ℹ️ Edite o arquivo rca_config.yaml para alterar responsáveis. Re-execute generate_excel.py para atualizar.</t>
        </is>
      </c>
    </row>
  </sheetData>
  <mergeCells count="1">
    <mergeCell ref="A25:F2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RCA Pocket</dc:title>
  <dc:description xmlns:dc="http://purl.org/dc/elements/1.1/">Gerado em 30/03/2026 16:07</dc:description>
  <dcterms:created xmlns:dcterms="http://purl.org/dc/terms/" xmlns:xsi="http://www.w3.org/2001/XMLSchema-instance" xsi:type="dcterms:W3CDTF">2026-03-30T19:07:15Z</dcterms:created>
  <dcterms:modified xmlns:dcterms="http://purl.org/dc/terms/" xmlns:xsi="http://www.w3.org/2001/XMLSchema-instance" xsi:type="dcterms:W3CDTF">2026-03-30T19:07:17Z</dcterms:modified>
</cp:coreProperties>
</file>