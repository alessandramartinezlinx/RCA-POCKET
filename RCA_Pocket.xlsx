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dos" sheetId="1" state="visible" r:id="rId1"/>
    <sheet name="🗂️ Acompanhamento Issue" sheetId="2" state="visible" r:id="rId2"/>
    <sheet name="📦 Arquivo" sheetId="3" state="visible" r:id="rId3"/>
    <sheet name="👥 Responsáveis" sheetId="4" state="visible" r:id="rId4"/>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8">
    <font>
      <name val="Calibri"/>
      <family val="2"/>
      <color theme="1"/>
      <sz val="11"/>
      <scheme val="minor"/>
    </font>
    <font>
      <b val="1"/>
      <color rgb="00FFFFFF"/>
      <sz val="10"/>
    </font>
    <font>
      <sz val="9"/>
    </font>
    <font>
      <b val="1"/>
      <color rgb="000563C1"/>
      <sz val="9"/>
      <u val="single"/>
    </font>
    <font>
      <b val="1"/>
      <color rgb="009C0006"/>
      <sz val="9"/>
    </font>
    <font>
      <b val="1"/>
      <color rgb="009C6500"/>
      <sz val="9"/>
    </font>
    <font>
      <i val="1"/>
      <color rgb="00888888"/>
      <sz val="8"/>
    </font>
    <font>
      <color rgb="000563C1"/>
      <sz val="9"/>
      <u val="single"/>
    </font>
  </fonts>
  <fills count="17">
    <fill>
      <patternFill/>
    </fill>
    <fill>
      <patternFill patternType="gray125"/>
    </fill>
    <fill>
      <patternFill patternType="solid">
        <fgColor rgb="FF1F4E79"/>
      </patternFill>
    </fill>
    <fill>
      <patternFill patternType="solid">
        <fgColor rgb="FF44546A"/>
      </patternFill>
    </fill>
    <fill>
      <patternFill patternType="solid">
        <fgColor rgb="FF375623"/>
      </patternFill>
    </fill>
    <fill>
      <patternFill patternType="solid">
        <fgColor rgb="FFD6E4F0"/>
      </patternFill>
    </fill>
    <fill>
      <patternFill patternType="solid">
        <fgColor rgb="FFE8EAED"/>
      </patternFill>
    </fill>
    <fill>
      <patternFill patternType="solid">
        <fgColor rgb="FFEBF1DE"/>
      </patternFill>
    </fill>
    <fill>
      <patternFill patternType="solid">
        <fgColor rgb="FFFFC7CE"/>
      </patternFill>
    </fill>
    <fill>
      <patternFill patternType="solid">
        <fgColor rgb="FFFFEB9C"/>
      </patternFill>
    </fill>
    <fill>
      <patternFill patternType="solid">
        <fgColor rgb="FFEFF6FF"/>
      </patternFill>
    </fill>
    <fill>
      <patternFill patternType="solid">
        <fgColor rgb="FF7F6000"/>
      </patternFill>
    </fill>
    <fill>
      <patternFill patternType="solid">
        <fgColor rgb="FF2E75B6"/>
      </patternFill>
    </fill>
    <fill>
      <patternFill patternType="solid">
        <fgColor rgb="FFEBF3FB"/>
      </patternFill>
    </fill>
    <fill>
      <patternFill patternType="solid">
        <fgColor rgb="FFFFF2CC"/>
      </patternFill>
    </fill>
    <fill>
      <patternFill patternType="solid">
        <fgColor rgb="FFE2EFDA"/>
      </patternFill>
    </fill>
    <fill>
      <patternFill patternType="solid">
        <fgColor rgb="FF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3" fillId="5" borderId="1" applyAlignment="1" pivotButton="0" quotePrefix="0" xfId="0">
      <alignment vertical="center"/>
    </xf>
    <xf numFmtId="0" fontId="2" fillId="5" borderId="1" applyAlignment="1" pivotButton="0" quotePrefix="0" xfId="0">
      <alignment vertical="center"/>
    </xf>
    <xf numFmtId="165" fontId="2" fillId="5" borderId="1" applyAlignment="1" pivotButton="0" quotePrefix="0" xfId="0">
      <alignment vertical="center"/>
    </xf>
    <xf numFmtId="1" fontId="2" fillId="5" borderId="1" applyAlignment="1" pivotButton="0" quotePrefix="0" xfId="0">
      <alignment vertical="center"/>
    </xf>
    <xf numFmtId="0" fontId="4" fillId="8" borderId="1"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top" wrapText="1"/>
    </xf>
    <xf numFmtId="0" fontId="2" fillId="7" borderId="1" applyAlignment="1" pivotButton="0" quotePrefix="0" xfId="0">
      <alignment vertical="center"/>
    </xf>
    <xf numFmtId="0" fontId="2" fillId="7" borderId="1" applyAlignment="1" pivotButton="0" quotePrefix="0" xfId="0">
      <alignment horizontal="center" vertical="center"/>
    </xf>
    <xf numFmtId="165" fontId="2" fillId="7" borderId="1" applyAlignment="1" pivotButton="0" quotePrefix="0" xfId="0">
      <alignment vertical="center"/>
    </xf>
    <xf numFmtId="0" fontId="5" fillId="9" borderId="1" applyAlignment="1" pivotButton="0" quotePrefix="0" xfId="0">
      <alignment vertical="center"/>
    </xf>
    <xf numFmtId="0" fontId="2" fillId="10" borderId="1" applyAlignment="1" pivotButton="0" quotePrefix="0" xfId="0">
      <alignment vertical="center"/>
    </xf>
    <xf numFmtId="0" fontId="1" fillId="12" borderId="1" applyAlignment="1" pivotButton="0" quotePrefix="0" xfId="0">
      <alignment horizontal="center" vertical="center" wrapText="1"/>
    </xf>
    <xf numFmtId="0" fontId="3" fillId="0" borderId="1" applyAlignment="1" pivotButton="0" quotePrefix="0" xfId="0">
      <alignment vertical="center"/>
    </xf>
    <xf numFmtId="0" fontId="7" fillId="0" borderId="1" applyAlignment="1" pivotButton="0" quotePrefix="0" xfId="0">
      <alignment vertical="center"/>
    </xf>
    <xf numFmtId="0" fontId="2" fillId="0" borderId="1" applyAlignment="1" pivotButton="0" quotePrefix="0" xfId="0">
      <alignment vertical="center"/>
    </xf>
    <xf numFmtId="0" fontId="2" fillId="13" borderId="1" applyAlignment="1" pivotButton="0" quotePrefix="0" xfId="0">
      <alignment vertical="center"/>
    </xf>
    <xf numFmtId="0" fontId="2" fillId="0" borderId="1" applyAlignment="1" pivotButton="0" quotePrefix="0" xfId="0">
      <alignment vertical="center" wrapText="1"/>
    </xf>
    <xf numFmtId="0" fontId="2" fillId="14" borderId="1" applyAlignment="1" pivotButton="0" quotePrefix="0" xfId="0">
      <alignment vertical="center"/>
    </xf>
    <xf numFmtId="0" fontId="2" fillId="15" borderId="1" applyAlignment="1" pivotButton="0" quotePrefix="0" xfId="0">
      <alignment vertical="center"/>
    </xf>
    <xf numFmtId="165" fontId="2" fillId="0" borderId="1" applyAlignment="1" pivotButton="0" quotePrefix="0" xfId="0">
      <alignment vertical="center"/>
    </xf>
    <xf numFmtId="0" fontId="0" fillId="0" borderId="1" pivotButton="0" quotePrefix="0" xfId="0"/>
    <xf numFmtId="0" fontId="1" fillId="11" borderId="1" applyAlignment="1" pivotButton="0" quotePrefix="0" xfId="0">
      <alignment horizontal="center" vertical="center" wrapText="1"/>
    </xf>
    <xf numFmtId="0" fontId="6" fillId="0" borderId="0" pivotButton="0" quotePrefix="0" xfId="0"/>
    <xf numFmtId="0" fontId="2" fillId="13" borderId="1" applyAlignment="1" pivotButton="0" quotePrefix="0" xfId="0">
      <alignment vertical="center"/>
    </xf>
    <xf numFmtId="0" fontId="2" fillId="16"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TabelaDados" displayName="TabelaDados" ref="A1:AB37" headerRowCount="1">
  <autoFilter ref="A1:AB37"/>
  <tableColumns count="28">
    <tableColumn id="1" name="Key"/>
    <tableColumn id="2" name="Resumo"/>
    <tableColumn id="3" name="Status Jira"/>
    <tableColumn id="4" name="Prioridade"/>
    <tableColumn id="5" name="Data Criação"/>
    <tableColumn id="6" name="Data Resolução"/>
    <tableColumn id="7" name="Dias p/ Resolver"/>
    <tableColumn id="8" name="DeV Responsável pelo Bug"/>
    <tableColumn id="9" name="QA Responsável pelo Bug"/>
    <tableColumn id="10" name="Qtd Vínculos"/>
    <tableColumn id="11" name="Causa Raiz"/>
    <tableColumn id="12" name="Time"/>
    <tableColumn id="13" name="Área"/>
    <tableColumn id="14" name="Tipo Erro (Auto)"/>
    <tableColumn id="15" name="Ação Realizada no Bug"/>
    <tableColumn id="16" name="Análise da Causa"/>
    <tableColumn id="17" name="Tipo de Ajuste"/>
    <tableColumn id="18" name="Possui TA"/>
    <tableColumn id="19" name="Arquivo TA"/>
    <tableColumn id="20" name="Resultado da Automação"/>
    <tableColumn id="21" name="Contexto"/>
    <tableColumn id="22" name="Problema Resolvido?"/>
    <tableColumn id="23" name="QA Principal"/>
    <tableColumn id="24" name="Dev Principal"/>
    <tableColumn id="25" name="Issue de Acompanhamento"/>
    <tableColumn id="26" name="Plano Ação/Lição Aprendida"/>
    <tableColumn id="27" name="Analisado"/>
    <tableColumn id="28" name="Data Filtragem"/>
  </tableColumns>
  <tableStyleInfo name="TableStyleMedium2" showFirstColumn="0" showLastColumn="0" showRowStripes="1" showColumnStripes="0"/>
</table>
</file>

<file path=xl/tables/table2.xml><?xml version="1.0" encoding="utf-8"?>
<table xmlns="http://schemas.openxmlformats.org/spreadsheetml/2006/main" id="2" name="TabelaAcompanhamento" displayName="TabelaAcompanhamento" ref="A1:I10" headerRowCount="1">
  <autoFilter ref="A1:I10"/>
  <tableColumns count="9">
    <tableColumn id="1" name="Issue Acompanhamento"/>
    <tableColumn id="2" name="Issue Original"/>
    <tableColumn id="3" name="Responsável"/>
    <tableColumn id="4" name="Área"/>
    <tableColumn id="5" name="Ação"/>
    <tableColumn id="6" name="Status da Ação"/>
    <tableColumn id="7" name="Data Limite"/>
    <tableColumn id="8" name="Data Conclusão"/>
    <tableColumn id="9" name="Observação"/>
  </tableColumns>
  <tableStyleInfo name="TableStyleMedium7" showFirstColumn="0" showLastColumn="0" showRowStripes="1" showColumnStripes="0"/>
</table>
</file>

<file path=xl/tables/table3.xml><?xml version="1.0" encoding="utf-8"?>
<table xmlns="http://schemas.openxmlformats.org/spreadsheetml/2006/main" id="3" name="TabelaResponsaveis" displayName="TabelaResponsaveis" ref="A1:F23" headerRowCount="1">
  <autoFilter ref="A1:F23"/>
  <tableColumns count="6">
    <tableColumn id="1" name="Time"/>
    <tableColumn id="2" name="Área"/>
    <tableColumn id="3" name="QA Principal"/>
    <tableColumn id="4" name="QA Secundário"/>
    <tableColumn id="5" name="Dev Principal"/>
    <tableColumn id="6" name="Dev Secundário"/>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ra.linx.com.br/browse/MODAJOI-100985" TargetMode="External" Id="rId1" /><Relationship Type="http://schemas.openxmlformats.org/officeDocument/2006/relationships/hyperlink" Target="https://jira.linx.com.br/browse/MODAJOI-101207" TargetMode="External" Id="rId2" /><Relationship Type="http://schemas.openxmlformats.org/officeDocument/2006/relationships/hyperlink" Target="https://jira.linx.com.br/browse/MODAJOI-100887" TargetMode="External" Id="rId3" /><Relationship Type="http://schemas.openxmlformats.org/officeDocument/2006/relationships/hyperlink" Target="https://jira.linx.com.br/browse/MODAJOI-101185" TargetMode="External" Id="rId4" /><Relationship Type="http://schemas.openxmlformats.org/officeDocument/2006/relationships/hyperlink" Target="https://jira.linx.com.br/browse/MODAJOI-101011" TargetMode="External" Id="rId5" /><Relationship Type="http://schemas.openxmlformats.org/officeDocument/2006/relationships/hyperlink" Target="https://jira.linx.com.br/browse/MODAJOI-101378" TargetMode="External" Id="rId6" /><Relationship Type="http://schemas.openxmlformats.org/officeDocument/2006/relationships/hyperlink" Target="https://jira.linx.com.br/browse/MODAJOI-100894" TargetMode="External" Id="rId7" /><Relationship Type="http://schemas.openxmlformats.org/officeDocument/2006/relationships/hyperlink" Target="https://jira.linx.com.br/browse/MODAJOI-101199" TargetMode="External" Id="rId8" /><Relationship Type="http://schemas.openxmlformats.org/officeDocument/2006/relationships/hyperlink" Target="https://jira.linx.com.br/browse/MODAJOI-100808" TargetMode="External" Id="rId9" /><Relationship Type="http://schemas.openxmlformats.org/officeDocument/2006/relationships/hyperlink" Target="https://jira.linx.com.br/browse/MODAJOI-101292" TargetMode="External" Id="rId10" /><Relationship Type="http://schemas.openxmlformats.org/officeDocument/2006/relationships/table" Target="/xl/tables/table1.xml" Id="rId1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AB37"/>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5" customWidth="1" min="3" max="3"/>
    <col width="13" customWidth="1" min="4" max="4"/>
    <col width="14" customWidth="1" min="5" max="5"/>
    <col width="14" customWidth="1" min="6" max="6"/>
    <col width="14" customWidth="1" min="7" max="7"/>
    <col width="20" customWidth="1" min="8" max="8"/>
    <col width="20" customWidth="1" min="9" max="9"/>
    <col width="13" customWidth="1" min="10" max="10"/>
    <col width="40" customWidth="1" min="11" max="11"/>
    <col width="16" customWidth="1" min="12" max="12"/>
    <col width="18" customWidth="1" min="13" max="13"/>
    <col width="18" customWidth="1" min="14" max="14"/>
    <col width="50" customWidth="1" min="15" max="15"/>
    <col width="40" customWidth="1" min="16" max="16"/>
    <col width="22" customWidth="1" min="17" max="17"/>
    <col width="14" customWidth="1" min="18" max="18"/>
    <col width="35" customWidth="1" min="19" max="19"/>
    <col width="20" customWidth="1" min="20" max="20"/>
    <col width="40" customWidth="1" min="21" max="21"/>
    <col width="18" customWidth="1" min="22" max="22"/>
    <col width="18" customWidth="1" min="23" max="23"/>
    <col width="18" customWidth="1" min="24" max="24"/>
    <col width="18" customWidth="1" min="25" max="25"/>
    <col width="32" customWidth="1" min="26" max="26"/>
    <col width="14" customWidth="1" min="27" max="27"/>
    <col width="14" customWidth="1" min="28" max="28"/>
  </cols>
  <sheetData>
    <row r="1" ht="36" customHeight="1">
      <c r="A1" s="1" t="inlineStr">
        <is>
          <t>Key</t>
        </is>
      </c>
      <c r="B1" s="1" t="inlineStr">
        <is>
          <t>Resumo</t>
        </is>
      </c>
      <c r="C1" s="1" t="inlineStr">
        <is>
          <t>Status Jira</t>
        </is>
      </c>
      <c r="D1" s="1" t="inlineStr">
        <is>
          <t>Prioridade</t>
        </is>
      </c>
      <c r="E1" s="1" t="inlineStr">
        <is>
          <t>Data Criação</t>
        </is>
      </c>
      <c r="F1" s="1" t="inlineStr">
        <is>
          <t>Data Resolução</t>
        </is>
      </c>
      <c r="G1" s="1" t="inlineStr">
        <is>
          <t>Dias p/ Resolver</t>
        </is>
      </c>
      <c r="H1" s="1" t="inlineStr">
        <is>
          <t>DeV Responsável pelo Bug</t>
        </is>
      </c>
      <c r="I1" s="1" t="inlineStr">
        <is>
          <t>QA Responsável pelo Bug</t>
        </is>
      </c>
      <c r="J1" s="1" t="inlineStr">
        <is>
          <t>Qtd Vínculos</t>
        </is>
      </c>
      <c r="K1" s="1" t="inlineStr">
        <is>
          <t>Causa Raiz</t>
        </is>
      </c>
      <c r="L1" s="2" t="inlineStr">
        <is>
          <t>Time</t>
        </is>
      </c>
      <c r="M1" s="2" t="inlineStr">
        <is>
          <t>Área</t>
        </is>
      </c>
      <c r="N1" s="2" t="inlineStr">
        <is>
          <t>Tipo Erro (Auto)</t>
        </is>
      </c>
      <c r="O1" s="2" t="inlineStr">
        <is>
          <t>Ação Realizada no Bug</t>
        </is>
      </c>
      <c r="P1" s="3" t="inlineStr">
        <is>
          <t>Análise da Causa</t>
        </is>
      </c>
      <c r="Q1" s="3" t="inlineStr">
        <is>
          <t>Tipo de Ajuste</t>
        </is>
      </c>
      <c r="R1" s="3" t="inlineStr">
        <is>
          <t>Possui TA</t>
        </is>
      </c>
      <c r="S1" s="3" t="inlineStr">
        <is>
          <t>Arquivo TA</t>
        </is>
      </c>
      <c r="T1" s="3" t="inlineStr">
        <is>
          <t>Resultado da Automação</t>
        </is>
      </c>
      <c r="U1" s="3" t="inlineStr">
        <is>
          <t>Contexto</t>
        </is>
      </c>
      <c r="V1" s="3" t="inlineStr">
        <is>
          <t>Problema Resolvido?</t>
        </is>
      </c>
      <c r="W1" s="3" t="inlineStr">
        <is>
          <t>QA Principal</t>
        </is>
      </c>
      <c r="X1" s="3" t="inlineStr">
        <is>
          <t>Dev Principal</t>
        </is>
      </c>
      <c r="Y1" s="3" t="inlineStr">
        <is>
          <t>Issue de Acompanhamento</t>
        </is>
      </c>
      <c r="Z1" s="3" t="inlineStr">
        <is>
          <t>Plano Ação/Lição Aprendida</t>
        </is>
      </c>
      <c r="AA1" s="3" t="inlineStr">
        <is>
          <t>Analisado</t>
        </is>
      </c>
      <c r="AB1" s="3" t="inlineStr">
        <is>
          <t>Data Filtragem</t>
        </is>
      </c>
    </row>
    <row r="2" ht="40" customHeight="1">
      <c r="A2" s="4" t="inlineStr">
        <is>
          <t>MODAJOI-100985</t>
        </is>
      </c>
      <c r="B2" s="5" t="inlineStr">
        <is>
          <t>SmartPOS - Ocorreu um problema ao imprimir.</t>
        </is>
      </c>
      <c r="C2" s="5" t="inlineStr">
        <is>
          <t>Concluída</t>
        </is>
      </c>
      <c r="D2" s="5" t="inlineStr">
        <is>
          <t>P1 - Alto</t>
        </is>
      </c>
      <c r="E2" s="6" t="n">
        <v>46099</v>
      </c>
      <c r="F2" s="6" t="n">
        <v>46108</v>
      </c>
      <c r="G2" s="7">
        <f>IF(OR(E2="",F2=""),"",INT(F2-E2))</f>
        <v/>
      </c>
      <c r="H2" s="5" t="inlineStr">
        <is>
          <t>Fernando Sutter</t>
        </is>
      </c>
      <c r="I2" s="5" t="inlineStr">
        <is>
          <t>Geovane Schmitt</t>
        </is>
      </c>
      <c r="J2" s="8" t="n">
        <v>19</v>
      </c>
      <c r="K2" s="5" t="inlineStr">
        <is>
          <t>SmartPOS - Ocorreu um problema ao imprimir.</t>
        </is>
      </c>
      <c r="L2" s="9" t="inlineStr">
        <is>
          <t>FatInt</t>
        </is>
      </c>
      <c r="M2" s="9" t="inlineStr">
        <is>
          <t>Venda Fácil</t>
        </is>
      </c>
      <c r="N2" s="9" t="inlineStr">
        <is>
          <t>Sistema</t>
        </is>
      </c>
      <c r="O2" s="10" t="inlineStr">
        <is>
          <t>[Alteração no código] Migrar a biblioteca e os testes unitários para suportar a nova versão do .NET da API do Fiscal.</t>
        </is>
      </c>
      <c r="P2" s="11" t="inlineStr"/>
      <c r="Q2" s="11" t="inlineStr"/>
      <c r="R2" s="11" t="inlineStr">
        <is>
          <t>Sim</t>
        </is>
      </c>
      <c r="S2" s="11" t="inlineStr">
        <is>
          <t>CD030-PV Produto com Imagem e Pedido Separacao
CD05-Acessar Venda Facil SmartPOS - MODAJOI-59726
CD45-Venda Facil SmartPOS com Cartao Nao TEF- MODAJOI-89119
(+2 mais)</t>
        </is>
      </c>
      <c r="T2" s="11" t="inlineStr"/>
      <c r="U2" s="11" t="inlineStr"/>
      <c r="V2" s="11" t="inlineStr"/>
      <c r="W2" s="11" t="inlineStr">
        <is>
          <t>Daiane</t>
        </is>
      </c>
      <c r="X2" s="11" t="inlineStr">
        <is>
          <t>Gisele</t>
        </is>
      </c>
      <c r="Y2" s="11" t="inlineStr"/>
      <c r="Z2" s="11" t="inlineStr"/>
      <c r="AA2" s="12" t="inlineStr"/>
      <c r="AB2" s="13" t="n">
        <v>46111</v>
      </c>
    </row>
    <row r="3" ht="40" customHeight="1">
      <c r="A3" s="4" t="inlineStr">
        <is>
          <t>MODAJOI-101207</t>
        </is>
      </c>
      <c r="B3" s="5" t="inlineStr">
        <is>
          <t>Cliente relata que não é gerada uma nova fatura quando faz a baixa de faturas pelas rotinas Recebimento de Parcelas e Recebimento de Faturas informando um plano de pagamento que não seja à vista.</t>
        </is>
      </c>
      <c r="C3" s="5" t="inlineStr">
        <is>
          <t>Concluída</t>
        </is>
      </c>
      <c r="D3" s="5" t="inlineStr">
        <is>
          <t>P2 - Médio</t>
        </is>
      </c>
      <c r="E3" s="6" t="n">
        <v>46106</v>
      </c>
      <c r="F3" s="6" t="n">
        <v>46111</v>
      </c>
      <c r="G3" s="7">
        <f>IF(OR(E3="",F3=""),"",INT(F3-E3))</f>
        <v/>
      </c>
      <c r="H3" s="5" t="inlineStr">
        <is>
          <t>Mariana Franco Fernandes</t>
        </is>
      </c>
      <c r="I3" s="5" t="inlineStr">
        <is>
          <t>Caroline Becker Gonçalves Corrêa</t>
        </is>
      </c>
      <c r="J3" s="8" t="n">
        <v>8</v>
      </c>
      <c r="K3" s="5" t="inlineStr">
        <is>
          <t>Cliente relata que não é gerada uma nova fatura quando faz a baixa de faturas pelas rotinas Recebimento de Parcelas e Recebimento de Faturas informando um plano de pagamento que não seja à vista.</t>
        </is>
      </c>
      <c r="L3" s="9" t="inlineStr">
        <is>
          <t>FFC</t>
        </is>
      </c>
      <c r="M3" s="9" t="inlineStr">
        <is>
          <t>Gestão Financeira</t>
        </is>
      </c>
      <c r="N3" s="9" t="inlineStr">
        <is>
          <t>Banco de Dados</t>
        </is>
      </c>
      <c r="O3" s="10" t="inlineStr">
        <is>
          <t>[Alteração no código] Foi realizado o rollback das alterações feitas na MODAJOI-99668 conforme solicitado pelo time de suporte.</t>
        </is>
      </c>
      <c r="P3" s="11" t="inlineStr"/>
      <c r="Q3" s="11" t="inlineStr"/>
      <c r="R3" s="11" t="inlineStr">
        <is>
          <t>Sim</t>
        </is>
      </c>
      <c r="S3" s="11" t="inlineStr">
        <is>
          <t>CD10 - Validar que não é gerada nova fatura para valor já pago após recebimento parcial de parcela
CD02-Negociar Multiplas Faturas
CD09-Receber Total Fatura de Outra Empresa
(+2 mais)</t>
        </is>
      </c>
      <c r="T3" s="11" t="inlineStr"/>
      <c r="U3" s="11" t="inlineStr"/>
      <c r="V3" s="11" t="inlineStr"/>
      <c r="W3" s="11" t="inlineStr">
        <is>
          <t>Michelle Pereira</t>
        </is>
      </c>
      <c r="X3" s="11" t="inlineStr">
        <is>
          <t>Fabio Elias</t>
        </is>
      </c>
      <c r="Y3" s="11" t="inlineStr"/>
      <c r="Z3" s="11" t="inlineStr"/>
      <c r="AA3" s="12" t="inlineStr"/>
      <c r="AB3" s="13" t="n">
        <v>46111</v>
      </c>
    </row>
    <row r="4" ht="40" customHeight="1">
      <c r="A4" s="4" t="inlineStr">
        <is>
          <t>MODAJOI-100887</t>
        </is>
      </c>
      <c r="B4" s="5" t="inlineStr">
        <is>
          <t>Venda Fácil - Venda de Serviços de Terceiros com pagamento unificado não gera fatura.</t>
        </is>
      </c>
      <c r="C4" s="5" t="inlineStr">
        <is>
          <t>Concluída</t>
        </is>
      </c>
      <c r="D4" s="5" t="inlineStr">
        <is>
          <t>P2 - Médio</t>
        </is>
      </c>
      <c r="E4" s="6" t="n">
        <v>46098</v>
      </c>
      <c r="F4" s="6" t="n">
        <v>46111</v>
      </c>
      <c r="G4" s="7">
        <f>IF(OR(E4="",F4=""),"",INT(F4-E4))</f>
        <v/>
      </c>
      <c r="H4" s="5" t="inlineStr">
        <is>
          <t>Marcos Eduardo Melo Mendonca</t>
        </is>
      </c>
      <c r="I4" s="5" t="inlineStr">
        <is>
          <t>Altimara Wrobel Carneiro Schmitz</t>
        </is>
      </c>
      <c r="J4" s="8" t="n">
        <v>5</v>
      </c>
      <c r="K4" s="5" t="inlineStr">
        <is>
          <t>Venda Fácil - Venda de Serviços de Terceiros com pagamento unificado não gera fatura.</t>
        </is>
      </c>
      <c r="L4" s="9" t="inlineStr">
        <is>
          <t>FFC</t>
        </is>
      </c>
      <c r="M4" s="9" t="inlineStr">
        <is>
          <t>Gestão Financeira</t>
        </is>
      </c>
      <c r="N4" s="9" t="inlineStr">
        <is>
          <t>Sistema</t>
        </is>
      </c>
      <c r="O4" s="10" t="inlineStr">
        <is>
          <t>[Alteração no código] Nesta correção será considerado além do parâmetro, o meio utilizado para gerar a fatura do serviço. Seguros vendidos pela rotina Serviço terceiro ERP SEMPRE será considerado pagamento separado. Já no Venda fácil, será considerado o parâmetro utilizado na empresa.</t>
        </is>
      </c>
      <c r="P4" s="11" t="inlineStr"/>
      <c r="Q4" s="11" t="inlineStr"/>
      <c r="R4" s="11" t="inlineStr">
        <is>
          <t>Sim</t>
        </is>
      </c>
      <c r="S4" s="11" t="inlineStr">
        <is>
          <t>CD11-Buscar Fatura e Validar Plano de Pagamento
CD08-Venda de dois Servicos com Desconto No Item
CD10-Venda de dois Servicos com Desconto Na Venda
(+2 mais)</t>
        </is>
      </c>
      <c r="T4" s="11" t="inlineStr"/>
      <c r="U4" s="11" t="inlineStr"/>
      <c r="V4" s="11" t="inlineStr"/>
      <c r="W4" s="11" t="inlineStr">
        <is>
          <t>Michelle Pereira</t>
        </is>
      </c>
      <c r="X4" s="11" t="inlineStr">
        <is>
          <t>Fabio Elias</t>
        </is>
      </c>
      <c r="Y4" s="11" t="inlineStr"/>
      <c r="Z4" s="11" t="inlineStr"/>
      <c r="AA4" s="12" t="inlineStr"/>
      <c r="AB4" s="13" t="n">
        <v>46111</v>
      </c>
    </row>
    <row r="5" ht="40" customHeight="1">
      <c r="A5" s="4" t="inlineStr">
        <is>
          <t>MODAJOI-101185</t>
        </is>
      </c>
      <c r="B5" s="5" t="inlineStr">
        <is>
          <t>Venda Facil - Erro ao pesquisar item "Oops, Ocorreu um erro!"</t>
        </is>
      </c>
      <c r="C5" s="5" t="inlineStr">
        <is>
          <t>Concluída</t>
        </is>
      </c>
      <c r="D5" s="5" t="inlineStr">
        <is>
          <t>P0 - Altissimo</t>
        </is>
      </c>
      <c r="E5" s="6" t="n">
        <v>46105</v>
      </c>
      <c r="F5" s="6" t="n">
        <v>46106</v>
      </c>
      <c r="G5" s="7">
        <f>IF(OR(E5="",F5=""),"",INT(F5-E5))</f>
        <v/>
      </c>
      <c r="H5" s="5" t="inlineStr">
        <is>
          <t>Deivis de Los</t>
        </is>
      </c>
      <c r="I5" s="5" t="inlineStr"/>
      <c r="J5" s="14" t="n">
        <v>3</v>
      </c>
      <c r="K5" s="5" t="inlineStr"/>
      <c r="L5" s="9" t="inlineStr">
        <is>
          <t>FatInt</t>
        </is>
      </c>
      <c r="M5" s="9" t="inlineStr">
        <is>
          <t>Venda Fácil</t>
        </is>
      </c>
      <c r="N5" s="9" t="inlineStr">
        <is>
          <t>Sistema</t>
        </is>
      </c>
      <c r="O5" s="10" t="inlineStr">
        <is>
          <t>O erro ocorreu devido a uma oscilação na camada de banco de dados. Realizamos o monitoramento de ontem até hoje, e o erro não voltou a ocorrer. Seguiremos acompanhando o portal para garantir que não haja novos incidentes. Em caso de dúvidas, estou à disposição.</t>
        </is>
      </c>
      <c r="P5" s="11" t="inlineStr"/>
      <c r="Q5" s="11" t="inlineStr"/>
      <c r="R5" s="11" t="inlineStr">
        <is>
          <t>Sim</t>
        </is>
      </c>
      <c r="S5" s="11" t="inlineStr">
        <is>
          <t>CD028-PV_Consumidor Final Sem Pagamento com Desconto, Cadastrando Cliente e Adicionando segundo produto por pesquisa
CD16-Venda de Produto com Acrescimo e PIX
CD01-Troca de Produtos Oticos em Duas Etapas
(+2 mais)</t>
        </is>
      </c>
      <c r="T5" s="11" t="inlineStr"/>
      <c r="U5" s="11" t="inlineStr"/>
      <c r="V5" s="11" t="inlineStr"/>
      <c r="W5" s="11" t="inlineStr">
        <is>
          <t>Daiane</t>
        </is>
      </c>
      <c r="X5" s="11" t="inlineStr">
        <is>
          <t>Gisele</t>
        </is>
      </c>
      <c r="Y5" s="11" t="inlineStr"/>
      <c r="Z5" s="11" t="inlineStr"/>
      <c r="AA5" s="12" t="inlineStr"/>
      <c r="AB5" s="13" t="n">
        <v>46111</v>
      </c>
    </row>
    <row r="6" ht="40" customHeight="1">
      <c r="A6" s="4" t="inlineStr">
        <is>
          <t>MODAJOI-101011</t>
        </is>
      </c>
      <c r="B6" s="5" t="inlineStr">
        <is>
          <t>Timeout ao gerar SPED EFD Fiscal. ---------------------------</t>
        </is>
      </c>
      <c r="C6" s="5" t="inlineStr">
        <is>
          <t>Concluída</t>
        </is>
      </c>
      <c r="D6" s="5" t="inlineStr">
        <is>
          <t>P1 - Alto</t>
        </is>
      </c>
      <c r="E6" s="6" t="n">
        <v>46100</v>
      </c>
      <c r="F6" s="6" t="n">
        <v>46106</v>
      </c>
      <c r="G6" s="7">
        <f>IF(OR(E6="",F6=""),"",INT(F6-E6))</f>
        <v/>
      </c>
      <c r="H6" s="5" t="inlineStr">
        <is>
          <t>Jhony Kennyth Viebrantz</t>
        </is>
      </c>
      <c r="I6" s="5" t="inlineStr"/>
      <c r="J6" s="5" t="n">
        <v>1</v>
      </c>
      <c r="K6" s="5" t="inlineStr">
        <is>
          <t>Timeout ao gerar SPED EFD Fiscal. ---------------------------</t>
        </is>
      </c>
      <c r="L6" s="9" t="inlineStr">
        <is>
          <t>Suprimentos</t>
        </is>
      </c>
      <c r="M6" s="9" t="inlineStr">
        <is>
          <t>Balanço</t>
        </is>
      </c>
      <c r="N6" s="9" t="inlineStr">
        <is>
          <t>Banco de Dados</t>
        </is>
      </c>
      <c r="O6" s="10" t="inlineStr">
        <is>
          <t>Existe um volume de dados muito grande para esse SPED, com base no inventário dele. Nós conseguimos gerar o arquivo por aqui, mas esse inventário gerou mais de 700 erros de estruturas, isso porque esse cliente tem muitos erros de custo médio negativo, por exemplo, oque não faz sentido. Isso precisa ser corrigido para que possamos gerar o SPED corretamente, e após isso ainda vai ter todas as dem...</t>
        </is>
      </c>
      <c r="P6" s="11" t="inlineStr"/>
      <c r="Q6" s="11" t="inlineStr"/>
      <c r="R6" s="11" t="inlineStr">
        <is>
          <t>Sim</t>
        </is>
      </c>
      <c r="S6" s="11" t="inlineStr">
        <is>
          <t>CD01-Validar Abertura e Geracao do SPED EFD Mes Anterior
CD02-Validar Abertura e Geracao do SPED EFD Mes Atual
CD09 - Gerar nota de devolução a partir do produto com ICMS excluído da base do PIS e COFINS
(+2 mais)</t>
        </is>
      </c>
      <c r="T6" s="11" t="inlineStr"/>
      <c r="U6" s="11" t="inlineStr"/>
      <c r="V6" s="11" t="inlineStr"/>
      <c r="W6" s="11" t="inlineStr">
        <is>
          <t>Ana Paula Coelho</t>
        </is>
      </c>
      <c r="X6" s="11" t="inlineStr">
        <is>
          <t>Willian Dias Brito</t>
        </is>
      </c>
      <c r="Y6" s="11" t="inlineStr"/>
      <c r="Z6" s="11" t="inlineStr"/>
      <c r="AA6" s="12" t="inlineStr"/>
      <c r="AB6" s="13" t="n">
        <v>46111</v>
      </c>
    </row>
    <row r="7" ht="40" customHeight="1">
      <c r="A7" s="4" t="inlineStr">
        <is>
          <t>MODAJOI-101378</t>
        </is>
      </c>
      <c r="B7" s="5" t="inlineStr">
        <is>
          <t>Cliente entrou em contato informando que ao dar entrada em uma nota retorna que não foi encontrado configuração tributária para aquela operação.</t>
        </is>
      </c>
      <c r="C7" s="5" t="inlineStr">
        <is>
          <t>Concluída</t>
        </is>
      </c>
      <c r="D7" s="5" t="inlineStr">
        <is>
          <t>P1 - Alto</t>
        </is>
      </c>
      <c r="E7" s="6" t="n">
        <v>46108</v>
      </c>
      <c r="F7" s="6" t="n">
        <v>46109</v>
      </c>
      <c r="G7" s="7">
        <f>IF(OR(E7="",F7=""),"",INT(F7-E7))</f>
        <v/>
      </c>
      <c r="H7" s="5" t="inlineStr">
        <is>
          <t>Anderson Petry</t>
        </is>
      </c>
      <c r="I7" s="5" t="inlineStr"/>
      <c r="J7" s="5" t="n">
        <v>1</v>
      </c>
      <c r="K7" s="5" t="inlineStr">
        <is>
          <t>Cliente entrou em contato informando que ao dar entrada em uma nota retorna que não foi encontrado configuração tributária para aquela operação.</t>
        </is>
      </c>
      <c r="L7" s="9" t="inlineStr">
        <is>
          <t>Suprimentos</t>
        </is>
      </c>
      <c r="M7" s="9" t="inlineStr">
        <is>
          <t>Entrada XML</t>
        </is>
      </c>
      <c r="N7" s="9" t="inlineStr">
        <is>
          <t>Banco de Dados</t>
        </is>
      </c>
      <c r="O7" s="10" t="inlineStr">
        <is>
          <t>marta.ribeiro Segue as orientações da Jehniffer: "Marta Maria Masset Ribeiro, notei que este portal tem mais de uma classe fiscal para MG O fornecedor 6 está vinculado a classe fiscal 39 mas a configuração tributária que existe detalhamento está com a classe fiscal 10021 vc pode alterar a classe fiscal do fornecedor, para o outro MG que tem na lista, e validar Se eles integram essa informação, ...</t>
        </is>
      </c>
      <c r="P7" s="11" t="inlineStr"/>
      <c r="Q7" s="11" t="inlineStr"/>
      <c r="R7" s="11" t="inlineStr">
        <is>
          <t>Sim</t>
        </is>
      </c>
      <c r="S7" s="11" t="inlineStr">
        <is>
          <t>CD15-Validar Campos Obrigatorios Ao Cadastrar Produtos - Nova Rotina
CD06 - Gerar nota de devolução de compra com produto sem config tributaria
CD25-Venda com Produto sem Config
(+2 mais)</t>
        </is>
      </c>
      <c r="T7" s="11" t="inlineStr"/>
      <c r="U7" s="11" t="inlineStr"/>
      <c r="V7" s="11" t="inlineStr"/>
      <c r="W7" s="11" t="inlineStr">
        <is>
          <t>Jenifer Lopes</t>
        </is>
      </c>
      <c r="X7" s="11" t="inlineStr">
        <is>
          <t>Vinícius Souza Martins</t>
        </is>
      </c>
      <c r="Y7" s="11" t="inlineStr"/>
      <c r="Z7" s="11" t="inlineStr"/>
      <c r="AA7" s="12" t="inlineStr"/>
      <c r="AB7" s="13" t="n">
        <v>46111</v>
      </c>
    </row>
    <row r="8" ht="40" customHeight="1">
      <c r="A8" s="4" t="inlineStr">
        <is>
          <t>MODAJOI-100894</t>
        </is>
      </c>
      <c r="B8" s="5" t="inlineStr">
        <is>
          <t>ERP - Assinar documento digitalmente ==================================</t>
        </is>
      </c>
      <c r="C8" s="5" t="inlineStr">
        <is>
          <t>Concluída</t>
        </is>
      </c>
      <c r="D8" s="5" t="inlineStr">
        <is>
          <t>P1 - Alto</t>
        </is>
      </c>
      <c r="E8" s="6" t="n">
        <v>46098</v>
      </c>
      <c r="F8" s="6" t="n">
        <v>46111</v>
      </c>
      <c r="G8" s="7">
        <f>IF(OR(E8="",F8=""),"",INT(F8-E8))</f>
        <v/>
      </c>
      <c r="H8" s="5" t="inlineStr">
        <is>
          <t>Marcos Felipe Dantas Da Costa</t>
        </is>
      </c>
      <c r="I8" s="5" t="inlineStr">
        <is>
          <t>Caroline Becker Gonçalves Corrêa</t>
        </is>
      </c>
      <c r="J8" s="5" t="n">
        <v>1</v>
      </c>
      <c r="K8" s="5" t="inlineStr">
        <is>
          <t>ERP - Assinar documento digitalmente ==================================</t>
        </is>
      </c>
      <c r="L8" s="9" t="inlineStr">
        <is>
          <t>Não Mapeado</t>
        </is>
      </c>
      <c r="M8" s="9" t="inlineStr">
        <is>
          <t>Não Mapeado</t>
        </is>
      </c>
      <c r="N8" s="9" t="inlineStr">
        <is>
          <t>Banco de Dados</t>
        </is>
      </c>
      <c r="O8" s="10" t="inlineStr">
        <is>
          <t>Detalhes: Após análise, verificamos que o erro está relacionado ao ERP, mas ao retorno da integração com a D4Sign. No momento da solicitação de envio do documento para assinatura, a API da D4Sign retorna 400 Bad Request com a mensagem informando que a conta possui mais créditos/limites disponíveis para envio de documentos. A assinatura digital é concluída porque a conta utilizada na integração ...</t>
        </is>
      </c>
      <c r="P8" s="11" t="inlineStr"/>
      <c r="Q8" s="11" t="inlineStr"/>
      <c r="R8" s="11" t="inlineStr">
        <is>
          <t>Sim</t>
        </is>
      </c>
      <c r="S8" s="11" t="inlineStr">
        <is>
          <t>CD02-Negociar Fatura Crediário - gerando mais de uma parcela
Cenário 03: Validar cadastro vale troca sem documento
CD03-Negociar Fatura Crediário - gerando mais de uma parcela
(+2 mais)</t>
        </is>
      </c>
      <c r="T8" s="11" t="inlineStr"/>
      <c r="U8" s="11" t="inlineStr"/>
      <c r="V8" s="11" t="inlineStr"/>
      <c r="W8" s="11" t="inlineStr"/>
      <c r="X8" s="11" t="inlineStr"/>
      <c r="Y8" s="11" t="inlineStr"/>
      <c r="Z8" s="11" t="inlineStr"/>
      <c r="AA8" s="12" t="inlineStr"/>
      <c r="AB8" s="13" t="n">
        <v>46111</v>
      </c>
    </row>
    <row r="9" ht="40" customHeight="1">
      <c r="A9" s="4" t="inlineStr">
        <is>
          <t>MODAJOI-101199</t>
        </is>
      </c>
      <c r="B9" s="5" t="inlineStr">
        <is>
          <t>Cliente está realizando envios de XML para entrar com notas fiscais de compra no Microvix, porém está retornando error: HTTP/1.1 500 Internal Server Error.</t>
        </is>
      </c>
      <c r="C9" s="5" t="inlineStr">
        <is>
          <t>Concluída</t>
        </is>
      </c>
      <c r="D9" s="5" t="inlineStr">
        <is>
          <t>P1 - Alto</t>
        </is>
      </c>
      <c r="E9" s="6" t="n">
        <v>46105</v>
      </c>
      <c r="F9" s="6" t="n">
        <v>46111</v>
      </c>
      <c r="G9" s="7">
        <f>IF(OR(E9="",F9=""),"",INT(F9-E9))</f>
        <v/>
      </c>
      <c r="H9" s="5" t="inlineStr">
        <is>
          <t>Fabio Elias Alves Vaz</t>
        </is>
      </c>
      <c r="I9" s="5" t="inlineStr">
        <is>
          <t>Michelle Pereira Pontes Dalfovo</t>
        </is>
      </c>
      <c r="J9" s="5" t="n">
        <v>1</v>
      </c>
      <c r="K9" s="5" t="inlineStr">
        <is>
          <t>Cliente está realizando envios de XML para entrar com notas fiscais de compra no Microvix, porém está retornando error: HTTP/1.1 500 Internal Server Error.</t>
        </is>
      </c>
      <c r="L9" s="9" t="inlineStr">
        <is>
          <t>Suprimentos</t>
        </is>
      </c>
      <c r="M9" s="9" t="inlineStr">
        <is>
          <t>Compras 2.0</t>
        </is>
      </c>
      <c r="N9" s="9" t="inlineStr">
        <is>
          <t>Sistema</t>
        </is>
      </c>
      <c r="O9" s="10" t="inlineStr">
        <is>
          <t>[Alteração no código] Realizados ajustes para que a IntegrationApi defina as configurações necessárias corretamente, mantendo compatibilidade entre os 3 projetos na classe ApiConfig.</t>
        </is>
      </c>
      <c r="P9" s="11" t="inlineStr"/>
      <c r="Q9" s="11" t="inlineStr"/>
      <c r="R9" s="11" t="inlineStr">
        <is>
          <t>Sim</t>
        </is>
      </c>
      <c r="S9" s="11" t="inlineStr">
        <is>
          <t>CD01-Entrada de Recusa de Devolução de Compra
CD05-Devolucao de Compras com nota com PIS e COFINS
CD06-Devolucao de Compras com nota com IPI
(+2 mais)</t>
        </is>
      </c>
      <c r="T9" s="11" t="inlineStr"/>
      <c r="U9" s="11" t="inlineStr"/>
      <c r="V9" s="11" t="inlineStr"/>
      <c r="W9" s="11" t="inlineStr">
        <is>
          <t>Guilherme Rocha</t>
        </is>
      </c>
      <c r="X9" s="11" t="inlineStr">
        <is>
          <t>Rafael Flecha</t>
        </is>
      </c>
      <c r="Y9" s="11" t="inlineStr"/>
      <c r="Z9" s="11" t="inlineStr"/>
      <c r="AA9" s="12" t="inlineStr"/>
      <c r="AB9" s="13" t="n">
        <v>46111</v>
      </c>
    </row>
    <row r="10" ht="40" customHeight="1">
      <c r="A10" s="4" t="inlineStr">
        <is>
          <t>MODAJOI-100808</t>
        </is>
      </c>
      <c r="B10" s="5" t="inlineStr">
        <is>
          <t>[ASICS} - Processo de certificado digital é realizado porém não finalizado.</t>
        </is>
      </c>
      <c r="C10" s="5" t="inlineStr">
        <is>
          <t>Concluída</t>
        </is>
      </c>
      <c r="D10" s="5" t="inlineStr">
        <is>
          <t>P1 - Alto</t>
        </is>
      </c>
      <c r="E10" s="6" t="n">
        <v>46097</v>
      </c>
      <c r="F10" s="6" t="n">
        <v>46104</v>
      </c>
      <c r="G10" s="7">
        <f>IF(OR(E10="",F10=""),"",INT(F10-E10))</f>
        <v/>
      </c>
      <c r="H10" s="5" t="inlineStr">
        <is>
          <t>Marcos Felipe Dantas Da Costa</t>
        </is>
      </c>
      <c r="I10" s="5" t="inlineStr">
        <is>
          <t>Caroline Becker Gonçalves Corrêa</t>
        </is>
      </c>
      <c r="J10" s="5" t="n">
        <v>0</v>
      </c>
      <c r="K10" s="5" t="inlineStr"/>
      <c r="L10" s="9" t="inlineStr">
        <is>
          <t>Não Mapeado</t>
        </is>
      </c>
      <c r="M10" s="9" t="inlineStr">
        <is>
          <t>Não Mapeado</t>
        </is>
      </c>
      <c r="N10" s="9" t="inlineStr">
        <is>
          <t>Configuração</t>
        </is>
      </c>
      <c r="O10" s="10" t="inlineStr">
        <is>
          <t>Detalhes: Certificado adicionado com sucesso</t>
        </is>
      </c>
      <c r="P10" s="11" t="inlineStr"/>
      <c r="Q10" s="11" t="inlineStr"/>
      <c r="R10" s="11" t="inlineStr">
        <is>
          <t>Sim</t>
        </is>
      </c>
      <c r="S10" s="11" t="inlineStr">
        <is>
          <t>CD023-Abertura do link certificado digital - Arquivo inválido
CD024-Abertura do link certificado digital - Arquivo .pfx e preenchendo campos de senha e email
CD07-Ativar Importacao Automatica
(+2 mais)</t>
        </is>
      </c>
      <c r="T10" s="11" t="inlineStr"/>
      <c r="U10" s="11" t="inlineStr"/>
      <c r="V10" s="11" t="inlineStr"/>
      <c r="W10" s="11" t="inlineStr"/>
      <c r="X10" s="11" t="inlineStr"/>
      <c r="Y10" s="11" t="inlineStr"/>
      <c r="Z10" s="11" t="inlineStr"/>
      <c r="AA10" s="12" t="inlineStr"/>
      <c r="AB10" s="13" t="n">
        <v>46111</v>
      </c>
    </row>
    <row r="11" ht="40" customHeight="1">
      <c r="A11" s="4" t="inlineStr">
        <is>
          <t>MODAJOI-101292</t>
        </is>
      </c>
      <c r="B11" s="5" t="inlineStr">
        <is>
          <t>Erro no  relatório personalizado - ERP</t>
        </is>
      </c>
      <c r="C11" s="5" t="inlineStr">
        <is>
          <t>Concluída</t>
        </is>
      </c>
      <c r="D11" s="5" t="inlineStr">
        <is>
          <t>P1 - Alto</t>
        </is>
      </c>
      <c r="E11" s="6" t="n">
        <v>46107</v>
      </c>
      <c r="F11" s="6" t="n">
        <v>46107</v>
      </c>
      <c r="G11" s="7">
        <f>IF(OR(E11="",F11=""),"",INT(F11-E11))</f>
        <v/>
      </c>
      <c r="H11" s="5" t="inlineStr">
        <is>
          <t>Marcos Felipe Dantas Da Costa</t>
        </is>
      </c>
      <c r="I11" s="5" t="inlineStr">
        <is>
          <t>Caroline Becker Gonçalves Corrêa</t>
        </is>
      </c>
      <c r="J11" s="5" t="n">
        <v>0</v>
      </c>
      <c r="K11" s="5" t="inlineStr"/>
      <c r="L11" s="9" t="inlineStr">
        <is>
          <t>FFC</t>
        </is>
      </c>
      <c r="M11" s="9" t="inlineStr">
        <is>
          <t>NF-e</t>
        </is>
      </c>
      <c r="N11" s="9" t="inlineStr">
        <is>
          <t>Banco de Dados</t>
        </is>
      </c>
      <c r="O11" s="10" t="inlineStr">
        <is>
          <t>Detalhes: Este problema será corrigido na conclusão da demanda MODAJOI-99667</t>
        </is>
      </c>
      <c r="P11" s="11" t="inlineStr"/>
      <c r="Q11" s="11" t="inlineStr"/>
      <c r="R11" s="11" t="inlineStr">
        <is>
          <t>Sim</t>
        </is>
      </c>
      <c r="S11" s="11" t="inlineStr">
        <is>
          <t>CD01-Validar Relatorio Gerado Com Sucesso
CD03-Validar Funcionalidade de Efetuar Conferencia - Quebra de Caixa
CD05-Relatorio Manutencao - Alterar Checkboxs Disponivel Loja Virtual
(+2 mais)</t>
        </is>
      </c>
      <c r="T11" s="11" t="inlineStr"/>
      <c r="U11" s="11" t="inlineStr"/>
      <c r="V11" s="11" t="inlineStr"/>
      <c r="W11" s="11" t="inlineStr">
        <is>
          <t>Flavia Doge</t>
        </is>
      </c>
      <c r="X11" s="11" t="inlineStr">
        <is>
          <t>Jean Carlos</t>
        </is>
      </c>
      <c r="Y11" s="11" t="inlineStr"/>
      <c r="Z11" s="11" t="inlineStr"/>
      <c r="AA11" s="12" t="inlineStr"/>
      <c r="AB11" s="13" t="n">
        <v>46111</v>
      </c>
    </row>
    <row r="12" ht="40" customHeight="1">
      <c r="A12" s="4" t="inlineStr">
        <is>
          <t>MODAJOI-100934</t>
        </is>
      </c>
      <c r="B12" s="5" t="inlineStr">
        <is>
          <t>Cliente relata que ao tentar emitir nota substitutiva é apresentada mensagem que não é permitido alterar o destinatário para CNPJ em NF-e substitutiva.</t>
        </is>
      </c>
      <c r="C12" s="5" t="inlineStr">
        <is>
          <t>Concluída</t>
        </is>
      </c>
      <c r="D12" s="5" t="inlineStr">
        <is>
          <t>P3 - Baixo</t>
        </is>
      </c>
      <c r="E12" s="6" t="n">
        <v>46099</v>
      </c>
      <c r="F12" s="6" t="n">
        <v>46101</v>
      </c>
      <c r="G12" s="5" t="n">
        <v>2</v>
      </c>
      <c r="H12" s="5" t="inlineStr">
        <is>
          <t>Anderson Petry</t>
        </is>
      </c>
      <c r="I12" s="5" t="inlineStr">
        <is>
          <t>Altimara Wrobel Carneiro Schmitz</t>
        </is>
      </c>
      <c r="J12" s="8" t="n">
        <v>14</v>
      </c>
      <c r="K12" s="5" t="inlineStr">
        <is>
          <t>Cliente relata que ao tentar emitir nota substitutiva é apresentada mensagem que não é permitido alterar o destinatário para CNPJ em NF-e substitutiva.</t>
        </is>
      </c>
      <c r="L12" s="9" t="inlineStr">
        <is>
          <t>FFC</t>
        </is>
      </c>
      <c r="M12" s="9" t="inlineStr">
        <is>
          <t>NF-e</t>
        </is>
      </c>
      <c r="N12" s="9" t="inlineStr">
        <is>
          <t>Correção Código</t>
        </is>
      </c>
      <c r="O12" s="10" t="inlineStr">
        <is>
          <t>[Alteração no código] removido bloqueio.</t>
        </is>
      </c>
      <c r="P12" s="11" t="inlineStr">
        <is>
          <t>Ajuste apenas em RC. Alteração d Regra fiscal impactou (somente RC). A postergação do prazo para permissão de alteração do Cliente em NFCe acabou impactando e causando o erro na nota substitutiva.</t>
        </is>
      </c>
      <c r="Q12" s="11" t="inlineStr">
        <is>
          <t>Código</t>
        </is>
      </c>
      <c r="R12" s="11" t="inlineStr">
        <is>
          <t>Não</t>
        </is>
      </c>
      <c r="S12" s="11" t="n"/>
      <c r="T12" s="11" t="n"/>
      <c r="U12" s="11" t="inlineStr">
        <is>
          <t>A Alteração de bloquear a nota de substituição foi feita sem consultar o time de Fiscal.
TA – Existe apenas para PF.</t>
        </is>
      </c>
      <c r="V12" s="11" t="inlineStr">
        <is>
          <t>Sim</t>
        </is>
      </c>
      <c r="W12" s="11" t="inlineStr">
        <is>
          <t>Flavia Doge</t>
        </is>
      </c>
      <c r="X12" s="11" t="inlineStr">
        <is>
          <t>Jean Carlos</t>
        </is>
      </c>
      <c r="Y12" s="11" t="n">
        <v>240301</v>
      </c>
      <c r="Z12" s="11" t="inlineStr">
        <is>
          <t>Questões de Legislação, o melhor é consultar o time Fiscal para validar a regra de negócio.</t>
        </is>
      </c>
      <c r="AA12" s="15" t="inlineStr">
        <is>
          <t>Sim</t>
        </is>
      </c>
      <c r="AB12" s="13" t="n">
        <v>46104</v>
      </c>
    </row>
    <row r="13" ht="40" customHeight="1">
      <c r="A13" s="4" t="inlineStr">
        <is>
          <t>MODAJOI-100979</t>
        </is>
      </c>
      <c r="B13" s="5" t="inlineStr">
        <is>
          <t>Entrada XML/Entrada CTe: Apresenta erro/não carrega ao usar usuario franqueador ==================================</t>
        </is>
      </c>
      <c r="C13" s="5" t="inlineStr">
        <is>
          <t>Concluída</t>
        </is>
      </c>
      <c r="D13" s="5" t="inlineStr">
        <is>
          <t>P2 - Médio</t>
        </is>
      </c>
      <c r="E13" s="6" t="n">
        <v>46099</v>
      </c>
      <c r="F13" s="6" t="n">
        <v>46104</v>
      </c>
      <c r="G13" s="5" t="n">
        <v>5</v>
      </c>
      <c r="H13" s="5" t="inlineStr">
        <is>
          <t>Fabio Elias Alves Vaz</t>
        </is>
      </c>
      <c r="I13" s="5" t="inlineStr">
        <is>
          <t>Marcilio De Aguiar Meireles</t>
        </is>
      </c>
      <c r="J13" s="8" t="n">
        <v>10</v>
      </c>
      <c r="K13" s="5" t="inlineStr">
        <is>
          <t>Entrada XML/Entrada CTe: Apresenta erro/não carrega ao usar usuario franqueador ==================================</t>
        </is>
      </c>
      <c r="L13" s="9" t="inlineStr">
        <is>
          <t>Suprimentos</t>
        </is>
      </c>
      <c r="M13" s="9" t="inlineStr">
        <is>
          <t>Entrada XML</t>
        </is>
      </c>
      <c r="N13" s="9" t="inlineStr">
        <is>
          <t>Migração AKS</t>
        </is>
      </c>
      <c r="O13" s="10" t="inlineStr">
        <is>
          <t>[Alteração no código] Alterado para que seja possível passar por parâmetro, de forma opcional, o id do portal. Se não passar, usa a sessão, mantendo compatibilidade.</t>
        </is>
      </c>
      <c r="P13" s="11" t="inlineStr">
        <is>
          <t>Erro específico, da migração AKS Fiscal, para usuário Supervisor/Administrador. No portal testado não possuía usuário Supervisor e por esse motivo o bug ocorreu.</t>
        </is>
      </c>
      <c r="Q13" s="11" t="inlineStr">
        <is>
          <t>Código</t>
        </is>
      </c>
      <c r="R13" s="11" t="inlineStr">
        <is>
          <t>Não</t>
        </is>
      </c>
      <c r="S13" s="11" t="n"/>
      <c r="T13" s="11" t="n"/>
      <c r="U13" s="11" t="inlineStr">
        <is>
          <t>Para usuário ADM/Supervisor não temos cenários de TA</t>
        </is>
      </c>
      <c r="V13" s="11" t="inlineStr">
        <is>
          <t>Sim</t>
        </is>
      </c>
      <c r="W13" s="11" t="inlineStr">
        <is>
          <t>Jenifer Lopes</t>
        </is>
      </c>
      <c r="X13" s="11" t="inlineStr">
        <is>
          <t>Vinícius Souza Martins</t>
        </is>
      </c>
      <c r="Y13" s="11" t="n">
        <v>240302</v>
      </c>
      <c r="Z13" s="11" t="inlineStr">
        <is>
          <t>Testar também com usuário Supervisor/ADM de rede</t>
        </is>
      </c>
      <c r="AA13" s="15" t="inlineStr">
        <is>
          <t>Sim</t>
        </is>
      </c>
      <c r="AB13" s="13" t="n">
        <v>46104</v>
      </c>
    </row>
    <row r="14" ht="40" customHeight="1">
      <c r="A14" s="4" t="inlineStr">
        <is>
          <t>MODAJOI-101067</t>
        </is>
      </c>
      <c r="B14" s="5" t="inlineStr">
        <is>
          <t>mensagem 'Ocorreu um erro inesperado, por favor contate o suporte técnico' ao tentar gerar um relatório, no exportação de dados</t>
        </is>
      </c>
      <c r="C14" s="5" t="inlineStr">
        <is>
          <t>Concluída</t>
        </is>
      </c>
      <c r="D14" s="5" t="inlineStr">
        <is>
          <t>P2 - Médio</t>
        </is>
      </c>
      <c r="E14" s="6" t="n">
        <v>46101</v>
      </c>
      <c r="F14" s="6" t="n">
        <v>46104</v>
      </c>
      <c r="G14" s="5" t="n">
        <v>3</v>
      </c>
      <c r="H14" s="5" t="inlineStr">
        <is>
          <t>Nelson Campagnaro Junior</t>
        </is>
      </c>
      <c r="I14" s="5" t="inlineStr">
        <is>
          <t>Nelson Campagnaro Junior</t>
        </is>
      </c>
      <c r="J14" s="8" t="n">
        <v>6</v>
      </c>
      <c r="K14" s="5" t="inlineStr">
        <is>
          <t>mensagem 'Ocorreu um erro inesperado, por favor contate o suporte técnico' ao tentar gerar um relatório, no exportação de dados</t>
        </is>
      </c>
      <c r="L14" s="9" t="inlineStr">
        <is>
          <t>FFC</t>
        </is>
      </c>
      <c r="M14" s="9" t="inlineStr">
        <is>
          <t>NF-e</t>
        </is>
      </c>
      <c r="N14" s="9" t="inlineStr">
        <is>
          <t>Correção Código</t>
        </is>
      </c>
      <c r="O14" s="10" t="inlineStr">
        <is>
          <t>Concluído.</t>
        </is>
      </c>
      <c r="P14" s="11" t="inlineStr">
        <is>
          <t>A correção do bug MODAJOI-101005 acabou impactando nesse caso, onde a exportação era feita utilizando a referência.</t>
        </is>
      </c>
      <c r="Q14" s="11" t="inlineStr">
        <is>
          <t>Código</t>
        </is>
      </c>
      <c r="R14" s="11" t="inlineStr">
        <is>
          <t>Não</t>
        </is>
      </c>
      <c r="S14" s="11" t="n"/>
      <c r="T14" s="11" t="n"/>
      <c r="U14" s="11" t="inlineStr">
        <is>
          <t>Como foi aberto como emergencial, esse caso não passou por QA e o teste só seria pego se fosse realizado em homologação.</t>
        </is>
      </c>
      <c r="V14" s="11" t="inlineStr">
        <is>
          <t>Sim</t>
        </is>
      </c>
      <c r="W14" s="11" t="n"/>
      <c r="X14" s="11" t="n"/>
      <c r="Y14" s="11" t="n"/>
      <c r="Z14" s="11" t="inlineStr">
        <is>
          <t>Buscar os testes antes de liberar a demanda e repassar por um QA para validar correção.</t>
        </is>
      </c>
      <c r="AA14" s="15" t="inlineStr">
        <is>
          <t>Sim</t>
        </is>
      </c>
      <c r="AB14" s="13" t="n">
        <v>46104</v>
      </c>
    </row>
    <row r="15" ht="40" customHeight="1">
      <c r="A15" s="4" t="inlineStr">
        <is>
          <t>MODAJOI-100388</t>
        </is>
      </c>
      <c r="B15" s="5" t="inlineStr">
        <is>
          <t>Cliente relata que ao tentar emitir vendas com CST 51, no Venda Fácil, é retornada a Rejeição 929: Informado CST de diferimento sem as informações de diferimento.</t>
        </is>
      </c>
      <c r="C15" s="5" t="inlineStr">
        <is>
          <t>Concluída</t>
        </is>
      </c>
      <c r="D15" s="5" t="inlineStr">
        <is>
          <t>P1 - Alto</t>
        </is>
      </c>
      <c r="E15" s="6" t="n">
        <v>46086</v>
      </c>
      <c r="F15" s="6" t="n">
        <v>46101</v>
      </c>
      <c r="G15" s="5" t="n">
        <v>15</v>
      </c>
      <c r="H15" s="5" t="inlineStr">
        <is>
          <t>Kassia Mabily Fraga Souza</t>
        </is>
      </c>
      <c r="I15" s="5" t="inlineStr">
        <is>
          <t>Déborah Brenda Dos Santos</t>
        </is>
      </c>
      <c r="J15" s="8" t="n">
        <v>5</v>
      </c>
      <c r="K15" s="5" t="inlineStr">
        <is>
          <t>Cliente relata que ao tentar emitir vendas com CST 51, no Venda Fácil, é retornada a Rejeição 929: Informado CST de diferimento sem as informações de diferimento.</t>
        </is>
      </c>
      <c r="L15" s="9" t="inlineStr">
        <is>
          <t>FatInt</t>
        </is>
      </c>
      <c r="M15" s="9" t="inlineStr">
        <is>
          <t>Venda Fácil</t>
        </is>
      </c>
      <c r="N15" s="9" t="inlineStr">
        <is>
          <t>Terceiros</t>
        </is>
      </c>
      <c r="O15" s="10" t="inlineStr">
        <is>
          <t>Causa A porcentagem de redução estava zero, mas nós temos uma nota autorizada no dia 26/02/2026 do portal 14554 que possuía a tag em questão e foi autorizada, entretanto, foi possível identificar a origem da rejeição 929, mas a partir de março entendemos que ela passou a ser necessária devido as rejeições. Foram analisadas diversas NTs, mas houve alterações nas regras de validação do campo N12-...</t>
        </is>
      </c>
      <c r="P15" s="11" t="inlineStr">
        <is>
          <t>Aparentemente não hve causa aparente. A validação do SEFAZ mudou, sem aviso, e parou de validar a tag de redução de base de cálculo para CST de diferimento</t>
        </is>
      </c>
      <c r="Q15" s="11" t="inlineStr">
        <is>
          <t>Código</t>
        </is>
      </c>
      <c r="R15" s="11" t="inlineStr">
        <is>
          <t>Sim</t>
        </is>
      </c>
      <c r="S15" s="11" t="inlineStr">
        <is>
          <t>CD005-Pre Venda Rejeicao por CST Incorreta
CD025-Editar Salvar e Finalizar Pre-Venda com Pagamento Nao Informado e Incluindo Novos Produtos
CD026-Editar Salvar e Finalizar Pre-Venda com Pagamento Total Informado e Incluindo Novos Produtos
(+2 mais)</t>
        </is>
      </c>
      <c r="T15" s="11" t="inlineStr">
        <is>
          <t>Não detectou</t>
        </is>
      </c>
      <c r="U15" s="11" t="inlineStr">
        <is>
          <t>Aparentemente somente alguns Estados começaram a validar essa tag no arquivo XML.</t>
        </is>
      </c>
      <c r="V15" s="11" t="inlineStr">
        <is>
          <t>Sim</t>
        </is>
      </c>
      <c r="W15" s="11" t="inlineStr">
        <is>
          <t>Daiane</t>
        </is>
      </c>
      <c r="X15" s="11" t="inlineStr">
        <is>
          <t>Gisele</t>
        </is>
      </c>
      <c r="Y15" s="11" t="n"/>
      <c r="Z15" s="11" t="inlineStr">
        <is>
          <t>Para esse caso em específico, por se tratar de erro do SEFAZ, para Estados Específicos, o plano de ação fica reduzido para alterações em Regras  Fiscais – mapear todos os Estados e cenários o máximo possível.</t>
        </is>
      </c>
      <c r="AA15" s="15" t="inlineStr">
        <is>
          <t>Sim</t>
        </is>
      </c>
      <c r="AB15" s="13" t="n">
        <v>46104</v>
      </c>
    </row>
    <row r="16" ht="40" customHeight="1">
      <c r="A16" s="4" t="inlineStr">
        <is>
          <t>MODAJOI-100733</t>
        </is>
      </c>
      <c r="B16" s="5" t="inlineStr">
        <is>
          <t>Sugestão de compras - Não abre a tela para gerar o pedido =================================</t>
        </is>
      </c>
      <c r="C16" s="5" t="inlineStr">
        <is>
          <t>Concluída</t>
        </is>
      </c>
      <c r="D16" s="5" t="inlineStr">
        <is>
          <t>P2 - Médio</t>
        </is>
      </c>
      <c r="E16" s="6" t="n">
        <v>46094</v>
      </c>
      <c r="F16" s="6" t="n">
        <v>46098</v>
      </c>
      <c r="G16" s="5" t="n">
        <v>4</v>
      </c>
      <c r="H16" s="5" t="inlineStr">
        <is>
          <t>Júlia Inácio Capanema</t>
        </is>
      </c>
      <c r="I16" s="5" t="inlineStr">
        <is>
          <t>Júlia Inácio Capanema</t>
        </is>
      </c>
      <c r="J16" s="8" t="n">
        <v>5</v>
      </c>
      <c r="K16" s="5" t="inlineStr">
        <is>
          <t>Sugestão de compras - Não abre a tela para gerar o pedido =================================</t>
        </is>
      </c>
      <c r="L16" s="9" t="inlineStr">
        <is>
          <t>Suprimentos</t>
        </is>
      </c>
      <c r="M16" s="9" t="inlineStr">
        <is>
          <t>Compras 2.0</t>
        </is>
      </c>
      <c r="N16" s="9" t="inlineStr">
        <is>
          <t>Merge</t>
        </is>
      </c>
      <c r="O16" s="10" t="inlineStr">
        <is>
          <t>Verificado que o erro foi corrigido através do BUG interno MODAJOI-100676 GitCommit: https://github.com/MEDIUM-RETAIL-MICROVIX/suprimentos/commit/fa0890f5acf6c6f37638d28750db457682afad68 GitBranch: hotfix/MODAJOI-100676 GitRepository: suprimentos Liberação irá ocorrer hoje 16/03/2026 no ambiente de RC.</t>
        </is>
      </c>
      <c r="P16" s="11" t="inlineStr">
        <is>
          <t>Foi causado por um ajuste onde o merge acabou transportando o código de forma incorreta, por nbão gerar nenhum conflito.</t>
        </is>
      </c>
      <c r="Q16" s="11" t="inlineStr">
        <is>
          <t>Código</t>
        </is>
      </c>
      <c r="R16" s="11" t="inlineStr">
        <is>
          <t>Sim</t>
        </is>
      </c>
      <c r="S16" s="11" t="inlineStr">
        <is>
          <t>CD07-Sugestao de Compras Novo - Emitir Pedido Uma empresa
CD08-Sugestao de Compras Novo - Emitir Pedido Varias empresas - Um Pedido para Cada Empresa
CD09-Sugestao de Compras Novo - Emitir Pedido Varias empresas - Um Pedido para Todas as Empresas
(+2 mais)</t>
        </is>
      </c>
      <c r="T16" s="11" t="inlineStr">
        <is>
          <t>Não detectou</t>
        </is>
      </c>
      <c r="U16" s="11" t="inlineStr">
        <is>
          <t>Para o TA validar a situação, ele teria que selecionar todas as colunas para que o erro ficasse visível. Seria necessário adicionar a validação dos registros listados no TA existente.</t>
        </is>
      </c>
      <c r="V16" s="11" t="inlineStr">
        <is>
          <t>Sim</t>
        </is>
      </c>
      <c r="W16" s="11" t="inlineStr">
        <is>
          <t>Guilherme Rocha</t>
        </is>
      </c>
      <c r="X16" s="11" t="inlineStr">
        <is>
          <t>Rafael Flecha</t>
        </is>
      </c>
      <c r="Y16" s="11" t="n"/>
      <c r="Z16" s="11" t="inlineStr">
        <is>
          <t>Ter o cenário de Sugestão de Compra – ao menos um cenário prioritário – na esteira rápida para garantir que problemas assim não volte a ocorrer.</t>
        </is>
      </c>
      <c r="AA16" s="15" t="inlineStr">
        <is>
          <t>Sim</t>
        </is>
      </c>
      <c r="AB16" s="13" t="n">
        <v>46104</v>
      </c>
    </row>
    <row r="17" ht="40" customHeight="1">
      <c r="A17" s="4" t="inlineStr">
        <is>
          <t>MODAJOI-101005</t>
        </is>
      </c>
      <c r="B17" s="5" t="inlineStr">
        <is>
          <t>Exportação de dados: Erro ao exportar A exportação não gerou nenhum resultado. Tente alterar os filtros ==================================</t>
        </is>
      </c>
      <c r="C17" s="5" t="inlineStr">
        <is>
          <t>Concluída</t>
        </is>
      </c>
      <c r="D17" s="5" t="inlineStr">
        <is>
          <t>P1 - Alto</t>
        </is>
      </c>
      <c r="E17" s="6" t="n">
        <v>46100</v>
      </c>
      <c r="F17" s="6" t="n">
        <v>46100</v>
      </c>
      <c r="G17" s="5" t="n">
        <v>0</v>
      </c>
      <c r="H17" s="5" t="inlineStr">
        <is>
          <t>Pedro Henrique De Matos Veronese</t>
        </is>
      </c>
      <c r="I17" s="5" t="inlineStr">
        <is>
          <t>Pedro Henrique De Matos Veronese</t>
        </is>
      </c>
      <c r="J17" s="5" t="n">
        <v>2</v>
      </c>
      <c r="K17" s="5" t="inlineStr">
        <is>
          <t>Exportação de dados: Erro ao exportar A exportação não gerou nenhum resultado. Tente alterar os filtros ==================================</t>
        </is>
      </c>
      <c r="L17" s="9" t="inlineStr">
        <is>
          <t>FatInt</t>
        </is>
      </c>
      <c r="M17" s="9" t="inlineStr">
        <is>
          <t>Gerador de Relatórios</t>
        </is>
      </c>
      <c r="N17" s="9" t="inlineStr">
        <is>
          <t>Correção Código</t>
        </is>
      </c>
      <c r="O17" s="10" t="inlineStr">
        <is>
          <t>Ajustado código para remover o primeiro bloco que adiciona as aspas, deixando o valor final como "".</t>
        </is>
      </c>
      <c r="P17" s="11" t="inlineStr">
        <is>
          <t>Esquecimento no momento de subir o commit – retirada de “</t>
        </is>
      </c>
      <c r="Q17" s="11" t="inlineStr">
        <is>
          <t>Código</t>
        </is>
      </c>
      <c r="R17" s="11" t="n"/>
      <c r="S17" s="11" t="n"/>
      <c r="T17" s="11" t="n"/>
      <c r="U17" s="11" t="n"/>
      <c r="V17" s="11" t="inlineStr">
        <is>
          <t>Sim</t>
        </is>
      </c>
      <c r="W17" s="11" t="inlineStr">
        <is>
          <t>Vicente</t>
        </is>
      </c>
      <c r="X17" s="11" t="inlineStr">
        <is>
          <t>Letícia</t>
        </is>
      </c>
      <c r="Y17" s="11" t="n"/>
      <c r="Z17" s="11" t="inlineStr">
        <is>
          <t>Revisar liberação de alteração</t>
        </is>
      </c>
      <c r="AA17" s="15" t="inlineStr">
        <is>
          <t>Sim</t>
        </is>
      </c>
      <c r="AB17" s="13" t="n">
        <v>46104</v>
      </c>
    </row>
    <row r="18" ht="40" customHeight="1">
      <c r="A18" s="4" t="inlineStr">
        <is>
          <t>MODAJOI-100761</t>
        </is>
      </c>
      <c r="B18" s="5" t="inlineStr">
        <is>
          <t>Venda Fácil - Envio de comprovante de troca com documento 0.</t>
        </is>
      </c>
      <c r="C18" s="5" t="inlineStr">
        <is>
          <t>Concluída</t>
        </is>
      </c>
      <c r="D18" s="5" t="inlineStr">
        <is>
          <t>P1 - Alto</t>
        </is>
      </c>
      <c r="E18" s="6" t="n">
        <v>46094</v>
      </c>
      <c r="F18" s="6" t="n">
        <v>46104</v>
      </c>
      <c r="G18" s="5" t="n">
        <v>10</v>
      </c>
      <c r="H18" s="5" t="inlineStr">
        <is>
          <t>Fernando Sutter</t>
        </is>
      </c>
      <c r="I18" s="5" t="inlineStr">
        <is>
          <t>Déborah Brenda Dos Santos</t>
        </is>
      </c>
      <c r="J18" s="5" t="n">
        <v>1</v>
      </c>
      <c r="K18" s="5" t="n"/>
      <c r="L18" s="9" t="inlineStr">
        <is>
          <t>FatInt</t>
        </is>
      </c>
      <c r="M18" s="9" t="inlineStr">
        <is>
          <t>Venda Fácil</t>
        </is>
      </c>
      <c r="N18" s="9" t="inlineStr">
        <is>
          <t>Correção Código</t>
        </is>
      </c>
      <c r="O18" s="10" t="inlineStr">
        <is>
          <t>[Alteração no código] Adiciona método para obter payload correto de envio e atualiza chamada de ação para enviar informações de troca por email</t>
        </is>
      </c>
      <c r="P18" s="11" t="inlineStr">
        <is>
          <t>Foi fechada incorretamente como P1.</t>
        </is>
      </c>
      <c r="Q18" s="11" t="inlineStr">
        <is>
          <t>Código</t>
        </is>
      </c>
      <c r="R18" s="11" t="inlineStr">
        <is>
          <t>Sim</t>
        </is>
      </c>
      <c r="S18" s="11" t="inlineStr">
        <is>
          <t>CD05 - Alterar Vendedor no Movimento Diário
CD02-Gerar Ticket Manual com Base Central
CD04-Conferir Vendedor, Pagamentos, Produtos, Cliente e Descontos no Movimentos Diario
(+2 mais)</t>
        </is>
      </c>
      <c r="T18" s="11" t="n"/>
      <c r="U18" s="11" t="n"/>
      <c r="V18" s="11" t="n"/>
      <c r="W18" s="11" t="inlineStr">
        <is>
          <t>Daiane</t>
        </is>
      </c>
      <c r="X18" s="11" t="inlineStr">
        <is>
          <t>Gisele</t>
        </is>
      </c>
      <c r="Y18" s="11" t="n"/>
      <c r="Z18" s="11" t="n"/>
      <c r="AA18" s="15" t="inlineStr">
        <is>
          <t>Sim</t>
        </is>
      </c>
      <c r="AB18" s="13" t="n">
        <v>46104</v>
      </c>
    </row>
    <row r="19" ht="40" customHeight="1">
      <c r="A19" s="4" t="inlineStr">
        <is>
          <t>MODAJOI-100396</t>
        </is>
      </c>
      <c r="B19" s="5" t="inlineStr">
        <is>
          <t>Orçamento/Pedido: Falha ao recuperar os dados para geração do link de pagamento ==================================</t>
        </is>
      </c>
      <c r="C19" s="5" t="inlineStr">
        <is>
          <t>Concluída</t>
        </is>
      </c>
      <c r="D19" s="5" t="inlineStr">
        <is>
          <t>P1 - Alto</t>
        </is>
      </c>
      <c r="E19" s="6" t="n">
        <v>46086</v>
      </c>
      <c r="F19" s="6" t="n">
        <v>46101</v>
      </c>
      <c r="G19" s="5" t="n">
        <v>15</v>
      </c>
      <c r="H19" s="5" t="inlineStr">
        <is>
          <t>Marcos Eduardo Melo Mendonca</t>
        </is>
      </c>
      <c r="I19" s="5" t="n"/>
      <c r="J19" s="5" t="n">
        <v>1</v>
      </c>
      <c r="K19" s="5" t="inlineStr">
        <is>
          <t>Orçamento/Pedido: Falha ao recuperar os dados para geração do link de pagamento ==================================</t>
        </is>
      </c>
      <c r="L19" s="9" t="inlineStr">
        <is>
          <t>FatInt</t>
        </is>
      </c>
      <c r="M19" s="9" t="inlineStr">
        <is>
          <t>Venda Fácil</t>
        </is>
      </c>
      <c r="N19" s="9" t="inlineStr">
        <is>
          <t>Terceiros</t>
        </is>
      </c>
      <c r="O19" s="10" t="inlineStr">
        <is>
          <t>Como correção foi realizado um ajuste efetivo até que tenhamos um retorno da Pagar.me sobre. Demanda correção retroativa: MODAJOI-100187 Cliente passou a utilizar versão checkout v1 ao invés de V2.</t>
        </is>
      </c>
      <c r="P19" s="11" t="inlineStr">
        <is>
          <t>Erro na PAGAR-ME.</t>
        </is>
      </c>
      <c r="Q19" s="11" t="inlineStr">
        <is>
          <t>Terceiros</t>
        </is>
      </c>
      <c r="R19" s="11" t="inlineStr">
        <is>
          <t>Sim</t>
        </is>
      </c>
      <c r="S19" s="11" t="inlineStr">
        <is>
          <t>CD010-Pre Venda com Link Pagamento
CD014-Agrupamento de Pré-Venda com Link de Pagamento
CD018-Pre Venda NFC-e com Link Pagamento
(+2 mais)</t>
        </is>
      </c>
      <c r="T19" s="11" t="inlineStr">
        <is>
          <t>Detectou problema</t>
        </is>
      </c>
      <c r="U19" s="11" t="inlineStr">
        <is>
          <t>Foi validado pelo QA porém para o caso em específico seria necessário voltar a versão do link de pagamento.</t>
        </is>
      </c>
      <c r="V19" s="11" t="inlineStr">
        <is>
          <t>Sim</t>
        </is>
      </c>
      <c r="W19" s="11" t="n"/>
      <c r="X19" s="11" t="n"/>
      <c r="Y19" s="11" t="inlineStr">
        <is>
          <t>Pendente 5</t>
        </is>
      </c>
      <c r="Z19" s="11" t="n"/>
      <c r="AA19" s="15" t="inlineStr">
        <is>
          <t>Sim</t>
        </is>
      </c>
      <c r="AB19" s="13" t="n">
        <v>46104</v>
      </c>
    </row>
    <row r="20" ht="40" customHeight="1">
      <c r="A20" s="4" t="inlineStr">
        <is>
          <t>MODAJOI-100867</t>
        </is>
      </c>
      <c r="B20" s="5" t="inlineStr">
        <is>
          <t>ERP - Erro ao gerar painel de movimentações WMS ==================================</t>
        </is>
      </c>
      <c r="C20" s="5" t="inlineStr">
        <is>
          <t>Concluída</t>
        </is>
      </c>
      <c r="D20" s="5" t="inlineStr">
        <is>
          <t>P1 - Alto</t>
        </is>
      </c>
      <c r="E20" s="6" t="n">
        <v>46098</v>
      </c>
      <c r="F20" s="6" t="n">
        <v>46099</v>
      </c>
      <c r="G20" s="5" t="n">
        <v>1</v>
      </c>
      <c r="H20" s="5" t="inlineStr">
        <is>
          <t>Mariana Franco Fernandes</t>
        </is>
      </c>
      <c r="I20" s="5" t="n"/>
      <c r="J20" s="5" t="n">
        <v>1</v>
      </c>
      <c r="K20" s="5" t="inlineStr">
        <is>
          <t>ERP - Erro ao gerar painel de movimentações WMS ==================================</t>
        </is>
      </c>
      <c r="L20" s="9" t="n"/>
      <c r="M20" s="9" t="n"/>
      <c r="N20" s="9" t="inlineStr">
        <is>
          <t>Banco de Dados</t>
        </is>
      </c>
      <c r="O20" s="10" t="inlineStr">
        <is>
          <t>Quando iniciei a análise da issue, o problema estava ocorrendo. Ao começar fazer o teste localmente, também não estava trazendo as requisições - o que me fez desconfiar que era um problema de instabilidade do banco. Após fazer as buscas direto no banco e tentar por outros meios e ver que estava funcionando, rodei novamente o filtro na rotina diretamente no portal do cliente e a tela carregou no...</t>
        </is>
      </c>
      <c r="P20" s="11" t="inlineStr">
        <is>
          <t>Aparentemente instabilidade do cliente. Não houve nenhum tipo de ajuste.</t>
        </is>
      </c>
      <c r="Q20" s="11" t="n"/>
      <c r="R20" s="11" t="inlineStr">
        <is>
          <t>Não</t>
        </is>
      </c>
      <c r="S20" s="11" t="n"/>
      <c r="T20" s="11" t="n"/>
      <c r="U20" s="11" t="n"/>
      <c r="V20" s="11" t="inlineStr">
        <is>
          <t>Sim</t>
        </is>
      </c>
      <c r="W20" s="11" t="n"/>
      <c r="X20" s="11" t="n"/>
      <c r="Y20" s="11" t="n"/>
      <c r="Z20" s="11" t="inlineStr">
        <is>
          <t>Validar os logs – seja no Elastic APPInsights para tentar rastrear a causa efetiva para esse tipo de situação. Dessa forma melhorara a análise.</t>
        </is>
      </c>
      <c r="AA20" s="15" t="inlineStr">
        <is>
          <t>Sim</t>
        </is>
      </c>
      <c r="AB20" s="13" t="n">
        <v>46104</v>
      </c>
    </row>
    <row r="21" ht="40" customHeight="1">
      <c r="A21" s="4" t="inlineStr">
        <is>
          <t>MODAJOI-100652</t>
        </is>
      </c>
      <c r="B21" s="5" t="inlineStr">
        <is>
          <t>Venda fácil: Não permite editar pré-venda ==================================</t>
        </is>
      </c>
      <c r="C21" s="5" t="inlineStr">
        <is>
          <t>Concluída</t>
        </is>
      </c>
      <c r="D21" s="5" t="inlineStr">
        <is>
          <t>P2 - Médio</t>
        </is>
      </c>
      <c r="E21" s="6" t="n">
        <v>46093</v>
      </c>
      <c r="F21" s="6" t="n">
        <v>46098</v>
      </c>
      <c r="G21" s="5" t="n">
        <v>5</v>
      </c>
      <c r="H21" s="5" t="inlineStr">
        <is>
          <t>Kassia Mabily Fraga Souza</t>
        </is>
      </c>
      <c r="I21" s="5" t="inlineStr">
        <is>
          <t>Altimara Wrobel Carneiro Schmitz</t>
        </is>
      </c>
      <c r="J21" s="8" t="n">
        <v>27</v>
      </c>
      <c r="K21" s="5" t="inlineStr">
        <is>
          <t>Venda fácil: Não permite editar pré-venda ==================================</t>
        </is>
      </c>
      <c r="L21" s="9" t="inlineStr">
        <is>
          <t>FatInt</t>
        </is>
      </c>
      <c r="M21" s="9" t="inlineStr">
        <is>
          <t>Venda Fácil</t>
        </is>
      </c>
      <c r="N21" s="9" t="inlineStr">
        <is>
          <t>Correção Código</t>
        </is>
      </c>
      <c r="O21" s="10" t="inlineStr">
        <is>
          <t>[Alteração no código] Causa Após alterações da demanda originadora (MODAJOI-99809), a regra de habilitação do botão “Finalizar” na tela de pagamento da pré-venda ficou mais restritiva e, ao editar uma pré-venda existente sem informar pagamento, o botão permanecia “em marca d’água” (desabilitado), impedindo salvar/prosseguir com as alterações. Solução Ajustada a condição do método `permiteFinali...</t>
        </is>
      </c>
      <c r="P21" s="11" t="inlineStr">
        <is>
          <t>MODAJOI-99809 - Foi uma condição implementada para tentar blindar um outro problema - Feito Rollback</t>
        </is>
      </c>
      <c r="Q21" s="11" t="inlineStr">
        <is>
          <t>Código</t>
        </is>
      </c>
      <c r="R21" s="11" t="inlineStr">
        <is>
          <t>Não</t>
        </is>
      </c>
      <c r="S21" s="11" t="n"/>
      <c r="T21" s="11" t="inlineStr">
        <is>
          <t>Não se Aplica</t>
        </is>
      </c>
      <c r="U21" s="11" t="inlineStr">
        <is>
          <t>Solicitado a criação para um no TA que faça a varredura de casos como esse.</t>
        </is>
      </c>
      <c r="V21" s="11" t="inlineStr">
        <is>
          <t>Sim</t>
        </is>
      </c>
      <c r="W21" s="11" t="inlineStr">
        <is>
          <t>Daiane</t>
        </is>
      </c>
      <c r="X21" s="11" t="inlineStr">
        <is>
          <t>Gisele</t>
        </is>
      </c>
      <c r="Y21" s="11" t="inlineStr">
        <is>
          <t>Pendente</t>
        </is>
      </c>
      <c r="Z21" s="11" t="inlineStr">
        <is>
          <t>Iniciativa do dev para rollback e abertura de TA</t>
        </is>
      </c>
      <c r="AA21" s="15" t="inlineStr">
        <is>
          <t>Sim</t>
        </is>
      </c>
      <c r="AB21" s="13" t="n">
        <v>46098</v>
      </c>
    </row>
    <row r="22" ht="40" customHeight="1">
      <c r="A22" s="4" t="inlineStr">
        <is>
          <t>MODAJOI-100187</t>
        </is>
      </c>
      <c r="B22" s="5" t="inlineStr">
        <is>
          <t>Oops, Ocorreu um erro! ao gerar Pré-venda com link de pagamento. ==================================</t>
        </is>
      </c>
      <c r="C22" s="5" t="inlineStr">
        <is>
          <t>Concluída</t>
        </is>
      </c>
      <c r="D22" s="5" t="inlineStr">
        <is>
          <t>P2 - Médio</t>
        </is>
      </c>
      <c r="E22" s="6" t="n">
        <v>46081</v>
      </c>
      <c r="F22" s="6" t="n">
        <v>46098</v>
      </c>
      <c r="G22" s="5" t="n">
        <v>17</v>
      </c>
      <c r="H22" s="5" t="inlineStr">
        <is>
          <t>Marcos Eduardo Melo Mendonca</t>
        </is>
      </c>
      <c r="I22" s="5" t="inlineStr">
        <is>
          <t>Déborah Brenda Dos Santos</t>
        </is>
      </c>
      <c r="J22" s="8" t="n">
        <v>9</v>
      </c>
      <c r="K22" s="5" t="inlineStr">
        <is>
          <t>Oops, Ocorreu um erro! ao gerar Pré-venda com link de pagamento. ==================================</t>
        </is>
      </c>
      <c r="L22" s="9" t="inlineStr">
        <is>
          <t>FatInt</t>
        </is>
      </c>
      <c r="M22" s="9" t="inlineStr">
        <is>
          <t>Venda Fácil</t>
        </is>
      </c>
      <c r="N22" s="9" t="inlineStr">
        <is>
          <t>Terceiros</t>
        </is>
      </c>
      <c r="O22" s="10" t="inlineStr">
        <is>
          <t>[Alteração no código] Atualização URL</t>
        </is>
      </c>
      <c r="P22" s="11" t="inlineStr">
        <is>
          <t>Link do Pagar-me que não está funcionando, para a Versão V2.</t>
        </is>
      </c>
      <c r="Q22" s="11" t="inlineStr">
        <is>
          <t>Terceiros</t>
        </is>
      </c>
      <c r="R22" s="11" t="inlineStr">
        <is>
          <t>Sim</t>
        </is>
      </c>
      <c r="S22" s="11" t="inlineStr">
        <is>
          <t>CD007-Pre Venda com Link Pagamento via Whatsapp - esse cenário estava com erro</t>
        </is>
      </c>
      <c r="T22" s="11" t="inlineStr">
        <is>
          <t>Detectou problema</t>
        </is>
      </c>
      <c r="U22" s="11" t="inlineStr">
        <is>
          <t>CD007-Pre Venda com Link Pagamento via Whatsapp - esse cenário estava com erro</t>
        </is>
      </c>
      <c r="V22" s="11" t="inlineStr">
        <is>
          <t>Não</t>
        </is>
      </c>
      <c r="W22" s="11" t="inlineStr">
        <is>
          <t>Daiane</t>
        </is>
      </c>
      <c r="X22" s="11" t="inlineStr">
        <is>
          <t>Gisele</t>
        </is>
      </c>
      <c r="Y22" s="11" t="inlineStr">
        <is>
          <t>Pendente 5</t>
        </is>
      </c>
      <c r="Z22" s="11" t="inlineStr">
        <is>
          <t>Nesse caso o problema foi causado por terceiros e a solução foi alterar o link de pagamento.</t>
        </is>
      </c>
      <c r="AA22" s="15" t="inlineStr">
        <is>
          <t>Sim</t>
        </is>
      </c>
      <c r="AB22" s="13" t="n">
        <v>46098</v>
      </c>
    </row>
    <row r="23" ht="40" customHeight="1">
      <c r="A23" s="4" t="inlineStr">
        <is>
          <t>MODAJOI-99532</t>
        </is>
      </c>
      <c r="B23" s="5" t="inlineStr">
        <is>
          <t>POS - Comprovante do Remessas e Retornos não Funciona</t>
        </is>
      </c>
      <c r="C23" s="5" t="inlineStr">
        <is>
          <t>Concluída</t>
        </is>
      </c>
      <c r="D23" s="5" t="inlineStr">
        <is>
          <t>P3 - Baixo</t>
        </is>
      </c>
      <c r="E23" s="6" t="n">
        <v>46063</v>
      </c>
      <c r="F23" s="6" t="n">
        <v>46098</v>
      </c>
      <c r="G23" s="5" t="n">
        <v>35</v>
      </c>
      <c r="H23" s="5" t="inlineStr">
        <is>
          <t xml:space="preserve">Joao Vinicius Souza Goncalves </t>
        </is>
      </c>
      <c r="I23" s="5" t="inlineStr">
        <is>
          <t>Déborah Brenda Dos Santos</t>
        </is>
      </c>
      <c r="J23" s="8" t="n">
        <v>7</v>
      </c>
      <c r="K23" s="5" t="inlineStr">
        <is>
          <t>POS - Comprovante do Remessas e Retornos não Funciona</t>
        </is>
      </c>
      <c r="L23" s="9" t="inlineStr">
        <is>
          <t>FatInt</t>
        </is>
      </c>
      <c r="M23" s="9" t="inlineStr">
        <is>
          <t>Remessas e Retornos</t>
        </is>
      </c>
      <c r="N23" s="9" t="inlineStr">
        <is>
          <t>Correção Código</t>
        </is>
      </c>
      <c r="O23" s="10" t="inlineStr">
        <is>
          <t>[Alteração no código] Ajuste para que o POS permite corretamente imprimir o comprovante de remessas e retornos.</t>
        </is>
      </c>
      <c r="P23" s="11" t="inlineStr">
        <is>
          <t>MODAJOI-99032 - Acabou impactando somente a rotina online.</t>
        </is>
      </c>
      <c r="Q23" s="11" t="inlineStr">
        <is>
          <t>Código</t>
        </is>
      </c>
      <c r="R23" s="11" t="inlineStr">
        <is>
          <t>Sim</t>
        </is>
      </c>
      <c r="S23" s="11" t="inlineStr">
        <is>
          <t>TestComplete</t>
        </is>
      </c>
      <c r="T23" s="11" t="inlineStr">
        <is>
          <t>Não se Aplica</t>
        </is>
      </c>
      <c r="U23" s="11" t="inlineStr">
        <is>
          <t>Somente são realizados na publicação de nova versão do POS</t>
        </is>
      </c>
      <c r="V23" s="11" t="inlineStr">
        <is>
          <t>Sim</t>
        </is>
      </c>
      <c r="W23" s="11" t="inlineStr">
        <is>
          <t>Daiane</t>
        </is>
      </c>
      <c r="X23" s="11" t="inlineStr">
        <is>
          <t>Otávio</t>
        </is>
      </c>
      <c r="Y23" s="11" t="n"/>
      <c r="Z23" s="11" t="inlineStr">
        <is>
          <t>Quando alterar qualquer rotina, elencar as principais rotinas online para não cair em erros</t>
        </is>
      </c>
      <c r="AA23" s="15" t="inlineStr">
        <is>
          <t>Sim</t>
        </is>
      </c>
      <c r="AB23" s="13" t="n">
        <v>46098</v>
      </c>
    </row>
    <row r="24" ht="40" customHeight="1">
      <c r="A24" s="4" t="inlineStr">
        <is>
          <t>MODAJOI-100251</t>
        </is>
      </c>
      <c r="B24" s="5" t="inlineStr">
        <is>
          <t>Venda Fácil - Não finaliza venda com campanha do CRM&amp;Bônus.</t>
        </is>
      </c>
      <c r="C24" s="5" t="inlineStr">
        <is>
          <t>Concluída</t>
        </is>
      </c>
      <c r="D24" s="5" t="inlineStr">
        <is>
          <t>P1 - Alto</t>
        </is>
      </c>
      <c r="E24" s="6" t="n">
        <v>46083</v>
      </c>
      <c r="F24" s="6" t="n">
        <v>46098</v>
      </c>
      <c r="G24" s="5" t="n">
        <v>15</v>
      </c>
      <c r="H24" s="5" t="inlineStr">
        <is>
          <t xml:space="preserve">Joao Vinicius Souza Goncalves </t>
        </is>
      </c>
      <c r="I24" s="5" t="inlineStr">
        <is>
          <t>Déborah Brenda Dos Santos</t>
        </is>
      </c>
      <c r="J24" s="5" t="n">
        <v>2</v>
      </c>
      <c r="K24" s="5" t="inlineStr">
        <is>
          <t>Venda Fácil - Não finaliza venda com campanha do CRM&amp;Bônus.</t>
        </is>
      </c>
      <c r="L24" s="9" t="inlineStr">
        <is>
          <t>FatInt</t>
        </is>
      </c>
      <c r="M24" s="9" t="inlineStr">
        <is>
          <t>Venda Fácil</t>
        </is>
      </c>
      <c r="N24" s="9" t="inlineStr">
        <is>
          <t>Correção Código</t>
        </is>
      </c>
      <c r="O24" s="10" t="inlineStr">
        <is>
          <t>[Alteração no código] Ajuste para que o VF finalize corretamente caso haja campanha crmBonus. O erro ocorria por uma especie de `blindagem` para evitar duplo clique e duplicidade na finalização de vendas. Que tratava essa finalização indevidamente e impedia que de fato a venda fosse concluida.</t>
        </is>
      </c>
      <c r="P24" s="11" t="n"/>
      <c r="Q24" s="11" t="inlineStr">
        <is>
          <t>Código</t>
        </is>
      </c>
      <c r="R24" s="11" t="inlineStr">
        <is>
          <t>Não</t>
        </is>
      </c>
      <c r="S24" s="11" t="n"/>
      <c r="T24" s="11" t="inlineStr">
        <is>
          <t>Não se Aplica</t>
        </is>
      </c>
      <c r="U24" s="11" t="inlineStr">
        <is>
          <t>Teria que deixar um ambiente configurado para utilizar o CRM Bonus e que o ambiente esteja 100% disponível</t>
        </is>
      </c>
      <c r="V24" s="11" t="inlineStr">
        <is>
          <t>Sim</t>
        </is>
      </c>
      <c r="W24" s="11" t="inlineStr">
        <is>
          <t>Daiane</t>
        </is>
      </c>
      <c r="X24" s="11" t="inlineStr">
        <is>
          <t>Gisele</t>
        </is>
      </c>
      <c r="Y24" s="11" t="n"/>
      <c r="Z24" s="11" t="inlineStr">
        <is>
          <t>Time do Ademir avaliar a possibilidade de criação de TA para essa rotina e estruturar o ambiente / Mapear quantos clientes utilizam a V1 do CRM Bonus e quantos utilizam a V2</t>
        </is>
      </c>
      <c r="AA24" s="15" t="inlineStr">
        <is>
          <t>Sim</t>
        </is>
      </c>
      <c r="AB24" s="13" t="n">
        <v>46098</v>
      </c>
    </row>
    <row r="25" ht="40" customHeight="1">
      <c r="A25" s="4" t="inlineStr">
        <is>
          <t>MODAJOI-100393</t>
        </is>
      </c>
      <c r="B25" s="5" t="inlineStr">
        <is>
          <t>Troca fácil: Não é possivel realizar devolução para o item ==================================</t>
        </is>
      </c>
      <c r="C25" s="5" t="inlineStr">
        <is>
          <t>Concluída</t>
        </is>
      </c>
      <c r="D25" s="5" t="inlineStr">
        <is>
          <t>P1 - Alto</t>
        </is>
      </c>
      <c r="E25" s="6" t="n">
        <v>46086</v>
      </c>
      <c r="F25" s="6" t="n">
        <v>46098</v>
      </c>
      <c r="G25" s="7">
        <f>IF(OR(E25="",F25=""),"",INT(F25-E25))</f>
        <v/>
      </c>
      <c r="H25" s="5" t="inlineStr">
        <is>
          <t>Leticia Saraiva Chaves</t>
        </is>
      </c>
      <c r="I25" s="5" t="inlineStr">
        <is>
          <t>Déborah Brenda Dos Santos</t>
        </is>
      </c>
      <c r="J25" s="5" t="n">
        <v>1</v>
      </c>
      <c r="K25" s="5" t="inlineStr">
        <is>
          <t>Troca fácil: Não é possivel realizar devolução para o item ==================================</t>
        </is>
      </c>
      <c r="L25" s="9" t="inlineStr">
        <is>
          <t>FFC</t>
        </is>
      </c>
      <c r="M25" s="9" t="inlineStr">
        <is>
          <t>NF-e</t>
        </is>
      </c>
      <c r="N25" s="9" t="inlineStr">
        <is>
          <t>Banco de Dados</t>
        </is>
      </c>
      <c r="O25" s="10" t="inlineStr">
        <is>
          <t>[Alteração no código] Ajuste na query ao verificar a existência de devolução sem registro na tabela trocaunificada.</t>
        </is>
      </c>
      <c r="P25" s="11" t="inlineStr"/>
      <c r="Q25" s="11" t="inlineStr"/>
      <c r="R25" s="11" t="inlineStr">
        <is>
          <t>Sim</t>
        </is>
      </c>
      <c r="S25" s="11" t="inlineStr">
        <is>
          <t>CD06-Realizar uma Venda Vitrine e Alterar o Pedido
CD17-Devolução por nota com múltiplas linhas do mesmo produto
CD01-Realizar Troca e Zerar Vale Gerado
(+2 mais)</t>
        </is>
      </c>
      <c r="T25" s="11" t="inlineStr"/>
      <c r="U25" s="11" t="inlineStr"/>
      <c r="V25" s="11" t="inlineStr"/>
      <c r="W25" s="11" t="inlineStr">
        <is>
          <t>Flavia Doge</t>
        </is>
      </c>
      <c r="X25" s="11" t="inlineStr">
        <is>
          <t>Jean Carlos</t>
        </is>
      </c>
      <c r="Y25" s="11" t="inlineStr"/>
      <c r="Z25" s="11" t="inlineStr"/>
      <c r="AA25" s="12" t="inlineStr"/>
      <c r="AB25" s="13" t="n">
        <v>46098</v>
      </c>
    </row>
    <row r="26" ht="40" customHeight="1">
      <c r="A26" s="4" t="inlineStr">
        <is>
          <t>MODAJOI-100461</t>
        </is>
      </c>
      <c r="B26" s="5" t="inlineStr">
        <is>
          <t>Ao abrir POS e na tela inicial, após curto tempo consta mensagem de erro:</t>
        </is>
      </c>
      <c r="C26" s="5" t="inlineStr">
        <is>
          <t>Concluída</t>
        </is>
      </c>
      <c r="D26" s="5" t="inlineStr">
        <is>
          <t>P1 - Alto</t>
        </is>
      </c>
      <c r="E26" s="6" t="n">
        <v>46087</v>
      </c>
      <c r="F26" s="6" t="n">
        <v>46098</v>
      </c>
      <c r="G26" s="5" t="n">
        <v>11</v>
      </c>
      <c r="H26" s="5" t="inlineStr">
        <is>
          <t xml:space="preserve">Joao Vinicius Souza Goncalves </t>
        </is>
      </c>
      <c r="I26" s="5" t="n"/>
      <c r="J26" s="5" t="n">
        <v>1</v>
      </c>
      <c r="K26" s="5" t="inlineStr">
        <is>
          <t>Ao abrir POS e na tela inicial, após curto tempo consta mensagem de erro:</t>
        </is>
      </c>
      <c r="L26" s="9" t="inlineStr">
        <is>
          <t>FatInt</t>
        </is>
      </c>
      <c r="M26" s="9" t="inlineStr">
        <is>
          <t>POS</t>
        </is>
      </c>
      <c r="N26" s="9" t="inlineStr">
        <is>
          <t>Sistema</t>
        </is>
      </c>
      <c r="O26" s="10" t="inlineStr">
        <is>
          <t>Realizado ajuste nos produtos, pois haviam mais de 1600 produtos definidos como catálogo. Deste modo, ocasionava travamentos dado o alto volume. Após o ajuste, o erro cessou. Trataremos o problema em sua causa raiz através de uma melhoria que será aberta.</t>
        </is>
      </c>
      <c r="P26" s="11" t="inlineStr">
        <is>
          <t>O cliente utilizou um número maior do que o limite permitido de sincronização de produtos</t>
        </is>
      </c>
      <c r="Q26" s="11" t="inlineStr">
        <is>
          <t>Banco de Dados</t>
        </is>
      </c>
      <c r="R26" s="11" t="inlineStr">
        <is>
          <t>Não</t>
        </is>
      </c>
      <c r="S26" s="11" t="n"/>
      <c r="T26" s="11" t="inlineStr">
        <is>
          <t>Não se Aplica</t>
        </is>
      </c>
      <c r="U26" s="11" t="n"/>
      <c r="V26" s="11" t="n"/>
      <c r="W26" s="11" t="inlineStr">
        <is>
          <t>Daiane</t>
        </is>
      </c>
      <c r="X26" s="11" t="inlineStr">
        <is>
          <t>Gisele</t>
        </is>
      </c>
      <c r="Y26" s="11" t="inlineStr">
        <is>
          <t>Pendente 4</t>
        </is>
      </c>
      <c r="Z26" s="11" t="inlineStr">
        <is>
          <t>Fazer um levantamento para validar se a blindagem para limitação de importação se perdeu</t>
        </is>
      </c>
      <c r="AA26" s="15" t="inlineStr">
        <is>
          <t>Sim</t>
        </is>
      </c>
      <c r="AB26" s="13" t="n">
        <v>46098</v>
      </c>
    </row>
    <row r="27" ht="40" customHeight="1">
      <c r="A27" s="4" t="inlineStr">
        <is>
          <t>MODAJOI-100418</t>
        </is>
      </c>
      <c r="B27" s="5" t="inlineStr">
        <is>
          <t>Venda Fácil - Rejeição 865: Total dos pagamentos menor que o total da nota, em vendas com cupom.</t>
        </is>
      </c>
      <c r="C27" s="5" t="inlineStr">
        <is>
          <t>Concluída</t>
        </is>
      </c>
      <c r="D27" s="5" t="inlineStr">
        <is>
          <t>P1 - Alto</t>
        </is>
      </c>
      <c r="E27" s="6" t="n">
        <v>46086</v>
      </c>
      <c r="F27" s="6" t="n">
        <v>46098</v>
      </c>
      <c r="G27" s="5" t="n">
        <v>12</v>
      </c>
      <c r="H27" s="5" t="inlineStr">
        <is>
          <t>Kassia Mabily Fraga Souza</t>
        </is>
      </c>
      <c r="I27" s="5" t="inlineStr">
        <is>
          <t>Déborah Brenda Dos Santos</t>
        </is>
      </c>
      <c r="J27" s="5" t="n">
        <v>1</v>
      </c>
      <c r="K27" s="5" t="inlineStr">
        <is>
          <t>Venda Fácil - Rejeição 865: Total dos pagamentos menor que o total da nota, em vendas com cupom.</t>
        </is>
      </c>
      <c r="L27" s="9" t="inlineStr">
        <is>
          <t>FatInt</t>
        </is>
      </c>
      <c r="M27" s="9" t="inlineStr">
        <is>
          <t>Venda Fácil</t>
        </is>
      </c>
      <c r="N27" s="9" t="inlineStr">
        <is>
          <t>Correção Código</t>
        </is>
      </c>
      <c r="O27" s="10" t="inlineStr">
        <is>
          <t>[Alteração no código] Causa A validação anterior limitava o desconto considerando apenas o valor total dos produtos. Com isso, era possível concluir a venda com valor final de R$ 0,01, independentemente da quantidade de itens, pois a regra distribuía esse mínimo por item. A validação anterior veio como ajuste da MODAJOI-100016, mas as alterações surtiam efeito para o cenário do valor do cupom m...</t>
        </is>
      </c>
      <c r="P27" s="11" t="inlineStr">
        <is>
          <t>Problemas com arredondamento - no momento do arredondamento o sistema se perdia.</t>
        </is>
      </c>
      <c r="Q27" s="11" t="inlineStr">
        <is>
          <t>Código</t>
        </is>
      </c>
      <c r="R27" s="11" t="inlineStr">
        <is>
          <t>Não</t>
        </is>
      </c>
      <c r="S27" s="11" t="n"/>
      <c r="T27" s="11" t="inlineStr">
        <is>
          <t>Não se Aplica</t>
        </is>
      </c>
      <c r="U27" s="11" t="inlineStr">
        <is>
          <t>O item do cliente é específico - ótico + cupom de desconto + pagamento parcial</t>
        </is>
      </c>
      <c r="V27" s="11" t="inlineStr">
        <is>
          <t>Sim</t>
        </is>
      </c>
      <c r="W27" s="11" t="inlineStr">
        <is>
          <t>Daiane</t>
        </is>
      </c>
      <c r="X27" s="11" t="inlineStr">
        <is>
          <t>Gisele</t>
        </is>
      </c>
      <c r="Y27" s="11" t="inlineStr">
        <is>
          <t>https://jira.linx.com.br/browse/MODAJOI-101007</t>
        </is>
      </c>
      <c r="Z27" s="11" t="inlineStr">
        <is>
          <t>Fazer uma análise nas ultimas rejeições/bug e criar algo para blindar esse tipo de situação de arredondamento.</t>
        </is>
      </c>
      <c r="AA27" s="15" t="inlineStr">
        <is>
          <t>Sim</t>
        </is>
      </c>
      <c r="AB27" s="13" t="n">
        <v>46098</v>
      </c>
    </row>
    <row r="28" ht="40" customHeight="1">
      <c r="A28" s="4" t="inlineStr">
        <is>
          <t>MODAJOI-100578</t>
        </is>
      </c>
      <c r="B28" s="5" t="inlineStr">
        <is>
          <t>Valor mínimo para resgate incorreto no venda fácil, comparando a configuração do fidelidade no Reshop.</t>
        </is>
      </c>
      <c r="C28" s="5" t="inlineStr">
        <is>
          <t>Concluída</t>
        </is>
      </c>
      <c r="D28" s="5" t="inlineStr">
        <is>
          <t>P1 - Alto</t>
        </is>
      </c>
      <c r="E28" s="6" t="n">
        <v>46092</v>
      </c>
      <c r="F28" s="6" t="n">
        <v>46098</v>
      </c>
      <c r="G28" s="5" t="n">
        <v>6</v>
      </c>
      <c r="H28" s="5" t="inlineStr">
        <is>
          <t>Kassia Mabily Fraga Souza</t>
        </is>
      </c>
      <c r="I28" s="5" t="inlineStr">
        <is>
          <t>Déborah Brenda Dos Santos</t>
        </is>
      </c>
      <c r="J28" s="5" t="n">
        <v>1</v>
      </c>
      <c r="K28" s="5" t="inlineStr">
        <is>
          <t>Valor mínimo para resgate incorreto no venda fácil, comparando a configuração do fidelidade no Reshop.</t>
        </is>
      </c>
      <c r="L28" s="9" t="inlineStr">
        <is>
          <t>FatInt</t>
        </is>
      </c>
      <c r="M28" s="9" t="inlineStr">
        <is>
          <t>Venda Fácil</t>
        </is>
      </c>
      <c r="N28" s="9" t="inlineStr">
        <is>
          <t>Correção Código</t>
        </is>
      </c>
      <c r="O28" s="10" t="inlineStr">
        <is>
          <t>[Alteração no código] Causa Na tela de resgate por pontos, o “valor mínimo de resgate” exibido estava confundindo a regra: o sistema acabava apresentando incorretamente um valor relacionado a pontos (ou a conversão/limite) quando, na prática, existem regras distintas: - Valor mínimo da venda para permitir resgate; - Limite percentual de resgate sobre o valor da venda; - Valor mínimo (em R$) par...</t>
        </is>
      </c>
      <c r="P28" s="11" t="inlineStr">
        <is>
          <t>Não teve uma causa descoberta.</t>
        </is>
      </c>
      <c r="Q28" s="11" t="inlineStr">
        <is>
          <t>Código</t>
        </is>
      </c>
      <c r="R28" s="11" t="inlineStr">
        <is>
          <t>Não</t>
        </is>
      </c>
      <c r="S28" s="11" t="n"/>
      <c r="T28" s="11" t="inlineStr">
        <is>
          <t>Não se Aplica</t>
        </is>
      </c>
      <c r="U28" s="11" t="inlineStr">
        <is>
          <t>Como se trata de problema visual, talvez não se aplique ao TA</t>
        </is>
      </c>
      <c r="V28" s="11" t="inlineStr">
        <is>
          <t>Sim</t>
        </is>
      </c>
      <c r="W28" s="11" t="inlineStr">
        <is>
          <t>Daiane</t>
        </is>
      </c>
      <c r="X28" s="11" t="inlineStr">
        <is>
          <t>Gisele</t>
        </is>
      </c>
      <c r="Y28" s="11" t="inlineStr">
        <is>
          <t>https://jira.linx.com.br/browse/MODAJOI-101142</t>
        </is>
      </c>
      <c r="Z28" s="11" t="inlineStr">
        <is>
          <t>Fazer uma análise da possibilidade de criar um TA relativo a esse tipo de problema</t>
        </is>
      </c>
      <c r="AA28" s="15" t="inlineStr">
        <is>
          <t>Sim</t>
        </is>
      </c>
      <c r="AB28" s="13" t="n">
        <v>46098</v>
      </c>
    </row>
    <row r="29" ht="40" customHeight="1">
      <c r="A29" s="4" t="inlineStr">
        <is>
          <t>MODAJOI-100776</t>
        </is>
      </c>
      <c r="B29" s="5" t="inlineStr">
        <is>
          <t>Conciliador bancário: Erro ao desconciliar faturas e lançamentos contábeis: Execution Timeout Expired. ==================================</t>
        </is>
      </c>
      <c r="C29" s="5" t="inlineStr">
        <is>
          <t>Concluída</t>
        </is>
      </c>
      <c r="D29" s="5" t="inlineStr">
        <is>
          <t>P1 - Alto</t>
        </is>
      </c>
      <c r="E29" s="6" t="n">
        <v>46094</v>
      </c>
      <c r="F29" s="6" t="n">
        <v>46097</v>
      </c>
      <c r="G29" s="7">
        <f>IF(OR(E29="",F29=""),"",INT(F29-E29))</f>
        <v/>
      </c>
      <c r="H29" s="5" t="inlineStr">
        <is>
          <t>Marcos Felipe Dantas Da Costa</t>
        </is>
      </c>
      <c r="I29" s="5" t="inlineStr"/>
      <c r="J29" s="5" t="n">
        <v>1</v>
      </c>
      <c r="K29" s="5" t="inlineStr">
        <is>
          <t>Conciliador bancário: Erro ao desconciliar faturas e lançamentos contábeis: Execution Timeout Expired. ==================================</t>
        </is>
      </c>
      <c r="L29" s="9" t="inlineStr">
        <is>
          <t>FFC</t>
        </is>
      </c>
      <c r="M29" s="9" t="inlineStr">
        <is>
          <t>Gestão Financeira</t>
        </is>
      </c>
      <c r="N29" s="9" t="inlineStr">
        <is>
          <t>Banco de Dados</t>
        </is>
      </c>
      <c r="O29" s="10" t="inlineStr">
        <is>
          <t>The Tempo Account was changed to Nao Capitalizavel (Opex) by the Scriptrunner validation script</t>
        </is>
      </c>
      <c r="P29" s="11" t="inlineStr"/>
      <c r="Q29" s="11" t="inlineStr"/>
      <c r="R29" s="11" t="inlineStr">
        <is>
          <t>Sim</t>
        </is>
      </c>
      <c r="S29" s="11" t="inlineStr">
        <is>
          <t>CD18-Conciliar Fatura a Receber Por Sugestão
CD20-Conciliar Mais de uma Fatura a Receber Selecionando Mesmo Valor do Extrato
CD09-Conciliar Extrato a Receber Utilizando Regra para Conciliação Automática
(+2 mais)</t>
        </is>
      </c>
      <c r="T29" s="11" t="inlineStr"/>
      <c r="U29" s="11" t="inlineStr"/>
      <c r="V29" s="11" t="inlineStr"/>
      <c r="W29" s="11" t="inlineStr">
        <is>
          <t>Michelle Pereira</t>
        </is>
      </c>
      <c r="X29" s="11" t="inlineStr">
        <is>
          <t>Fabio Elias</t>
        </is>
      </c>
      <c r="Y29" s="11" t="inlineStr"/>
      <c r="Z29" s="11" t="inlineStr"/>
      <c r="AA29" s="12" t="inlineStr"/>
      <c r="AB29" s="13" t="n">
        <v>46097</v>
      </c>
    </row>
    <row r="30" ht="40" customHeight="1">
      <c r="A30" s="4" t="inlineStr">
        <is>
          <t>MODAJOI-100270</t>
        </is>
      </c>
      <c r="B30" s="5" t="inlineStr">
        <is>
          <t>Venda Fácil - Erro Undefined ao Pesquisar o Serviços pelo Nome</t>
        </is>
      </c>
      <c r="C30" s="5" t="inlineStr">
        <is>
          <t>Concluída</t>
        </is>
      </c>
      <c r="D30" s="5" t="inlineStr">
        <is>
          <t>P1 - Alto</t>
        </is>
      </c>
      <c r="E30" s="6" t="n">
        <v>46084</v>
      </c>
      <c r="F30" s="6" t="n">
        <v>46092</v>
      </c>
      <c r="G30" s="5" t="n">
        <v>8</v>
      </c>
      <c r="H30" s="5" t="inlineStr">
        <is>
          <t>Fernando Sutter</t>
        </is>
      </c>
      <c r="I30" s="5" t="inlineStr">
        <is>
          <t>Geovane Schmitt</t>
        </is>
      </c>
      <c r="J30" s="8" t="n">
        <v>9</v>
      </c>
      <c r="K30" s="5" t="inlineStr">
        <is>
          <t>Venda Fácil - Erro Undefined ao Pesquisar o Serviços pelo Nome</t>
        </is>
      </c>
      <c r="L30" s="9" t="inlineStr">
        <is>
          <t>FatInt</t>
        </is>
      </c>
      <c r="M30" s="9" t="inlineStr">
        <is>
          <t>Venda Fácil</t>
        </is>
      </c>
      <c r="N30" s="9" t="inlineStr">
        <is>
          <t>Correção Código</t>
        </is>
      </c>
      <c r="O30" s="10" t="inlineStr">
        <is>
          <t>[Alteração no código] Tratamento para buscar o alias correto da tabela de produtos/serviços</t>
        </is>
      </c>
      <c r="P30" s="11" t="inlineStr">
        <is>
          <t>MODAJOI-99339</t>
        </is>
      </c>
      <c r="Q30" s="11" t="inlineStr">
        <is>
          <t>Código</t>
        </is>
      </c>
      <c r="R30" s="11" t="inlineStr">
        <is>
          <t>Sim</t>
        </is>
      </c>
      <c r="S30" s="11" t="inlineStr">
        <is>
          <t>CD01-Pesquisar Produto e Compartilhar Resultado</t>
        </is>
      </c>
      <c r="T30" s="11" t="inlineStr">
        <is>
          <t>Não se Aplica</t>
        </is>
      </c>
      <c r="U30" s="11" t="inlineStr">
        <is>
          <t>O TA cobre somente pesquisa de produtos e nesse caso a pesquisa era de serviço</t>
        </is>
      </c>
      <c r="V30" s="11" t="inlineStr">
        <is>
          <t>Sim</t>
        </is>
      </c>
      <c r="W30" s="11" t="inlineStr">
        <is>
          <t>Daiane</t>
        </is>
      </c>
      <c r="X30" s="11" t="inlineStr">
        <is>
          <t>Gisele</t>
        </is>
      </c>
      <c r="Y30" s="11" t="inlineStr">
        <is>
          <t>https://jira.linx.com.br/browse/MODAJOI-101105 e https://jira.linx.com.br/browse/MODAJOI-101106</t>
        </is>
      </c>
      <c r="Z30" s="11" t="inlineStr">
        <is>
          <t>Criar TA para erviço</t>
        </is>
      </c>
      <c r="AA30" s="15" t="inlineStr">
        <is>
          <t>Sim</t>
        </is>
      </c>
      <c r="AB30" s="13" t="n">
        <v>46095</v>
      </c>
    </row>
    <row r="31" ht="40" customHeight="1">
      <c r="A31" s="4" t="inlineStr">
        <is>
          <t>MODAJOI-99893</t>
        </is>
      </c>
      <c r="B31" s="5" t="inlineStr">
        <is>
          <t>Venda Fácil - TEF - Não foi possível se comunicar com o Scarf.</t>
        </is>
      </c>
      <c r="C31" s="5" t="inlineStr">
        <is>
          <t>Concluída</t>
        </is>
      </c>
      <c r="D31" s="5" t="inlineStr">
        <is>
          <t>P1 - Alto</t>
        </is>
      </c>
      <c r="E31" s="6" t="n">
        <v>46074</v>
      </c>
      <c r="F31" s="6" t="n">
        <v>46094</v>
      </c>
      <c r="G31" s="5" t="n">
        <v>20</v>
      </c>
      <c r="H31" s="5" t="inlineStr">
        <is>
          <t>Fernando Sutter</t>
        </is>
      </c>
      <c r="I31" s="5" t="n"/>
      <c r="J31" s="14" t="n">
        <v>4</v>
      </c>
      <c r="K31" s="5" t="inlineStr">
        <is>
          <t>Venda Fácil - TEF - Não foi possível se comunicar com o Scarf.</t>
        </is>
      </c>
      <c r="L31" s="9" t="inlineStr">
        <is>
          <t>FatInt</t>
        </is>
      </c>
      <c r="M31" s="9" t="inlineStr">
        <is>
          <t>Venda Fácil</t>
        </is>
      </c>
      <c r="N31" s="9" t="inlineStr">
        <is>
          <t>TEF</t>
        </is>
      </c>
      <c r="O31" s="10" t="inlineStr">
        <is>
          <t>Orientações passadas pelo Teams acerca do "AccessViolationException"</t>
        </is>
      </c>
      <c r="P31" s="11" t="inlineStr">
        <is>
          <t>Não conseguimos simular a causa do problema - Na própria loja não ocorreu mais o problema</t>
        </is>
      </c>
      <c r="Q31" s="11" t="inlineStr">
        <is>
          <t>Terceiros</t>
        </is>
      </c>
      <c r="R31" s="11" t="inlineStr">
        <is>
          <t>Não</t>
        </is>
      </c>
      <c r="S31" s="11" t="n"/>
      <c r="T31" s="11" t="n"/>
      <c r="U31" s="11" t="inlineStr">
        <is>
          <t>O TEF acaba sendo um processo com um grau de dificuldade  maior para a criação do TA</t>
        </is>
      </c>
      <c r="V31" s="11" t="inlineStr">
        <is>
          <t>Não</t>
        </is>
      </c>
      <c r="W31" s="11" t="inlineStr">
        <is>
          <t>Daiane</t>
        </is>
      </c>
      <c r="X31" s="11" t="inlineStr">
        <is>
          <t>Gisele</t>
        </is>
      </c>
      <c r="Y31" s="11" t="n"/>
      <c r="Z31" s="11" t="n"/>
      <c r="AA31" s="15" t="inlineStr">
        <is>
          <t>Sim</t>
        </is>
      </c>
      <c r="AB31" s="13" t="n">
        <v>46095</v>
      </c>
    </row>
    <row r="32" ht="40" customHeight="1">
      <c r="A32" s="4" t="inlineStr">
        <is>
          <t>MODAJOI-100533</t>
        </is>
      </c>
      <c r="B32" s="5" t="inlineStr">
        <is>
          <t>ERP - Erro ao selecionar itens para devolução de compra fácil ==================================</t>
        </is>
      </c>
      <c r="C32" s="5" t="inlineStr">
        <is>
          <t>Concluída</t>
        </is>
      </c>
      <c r="D32" s="5" t="inlineStr">
        <is>
          <t>P1 - Alto</t>
        </is>
      </c>
      <c r="E32" s="6" t="n">
        <v>46091</v>
      </c>
      <c r="F32" s="6" t="n">
        <v>46092</v>
      </c>
      <c r="G32" s="7">
        <f>IF(OR(E32="",F32=""),"",INT(F32-E32))</f>
        <v/>
      </c>
      <c r="H32" s="5" t="inlineStr">
        <is>
          <t>Mariana Franco Fernandes</t>
        </is>
      </c>
      <c r="I32" s="5" t="inlineStr"/>
      <c r="J32" s="5" t="n">
        <v>1</v>
      </c>
      <c r="K32" s="5" t="inlineStr">
        <is>
          <t>ERP - Erro ao selecionar itens para devolução de compra fácil ==================================</t>
        </is>
      </c>
      <c r="L32" s="9" t="inlineStr">
        <is>
          <t>FFC</t>
        </is>
      </c>
      <c r="M32" s="9" t="inlineStr">
        <is>
          <t>NF-e</t>
        </is>
      </c>
      <c r="N32" s="9" t="inlineStr">
        <is>
          <t>Correção Código</t>
        </is>
      </c>
      <c r="O32" s="10" t="inlineStr">
        <is>
          <t>[Alteração no código] Causa: A devolução está sendo gerada porque o sistema encontrou a NF-e de entrada correspondente à chave informada durante o processo de conferência. Como a nota é localizada nas fontes consultadas (XML/integrações), nenhuma referência de conferência é criada, resultando em lista vazia e impedindo a continuidade da devolução: No payload, quando enviamos o produto pra devol...</t>
        </is>
      </c>
      <c r="P32" s="11" t="inlineStr"/>
      <c r="Q32" s="11" t="inlineStr"/>
      <c r="R32" s="11" t="inlineStr">
        <is>
          <t>Sim</t>
        </is>
      </c>
      <c r="S32" s="11" t="inlineStr">
        <is>
          <t>CD01-Entrada de Recusa de Devolução de Compra
CD16 - Devolução de Compras - Devolução Parcial dos Itens.
CD17-Devolução por nota com múltiplas linhas do mesmo produto
(+2 mais)</t>
        </is>
      </c>
      <c r="T32" s="11" t="inlineStr"/>
      <c r="U32" s="11" t="inlineStr"/>
      <c r="V32" s="11" t="inlineStr"/>
      <c r="W32" s="11" t="inlineStr">
        <is>
          <t>Flavia Doge</t>
        </is>
      </c>
      <c r="X32" s="11" t="inlineStr">
        <is>
          <t>Jean Carlos</t>
        </is>
      </c>
      <c r="Y32" s="11" t="inlineStr"/>
      <c r="Z32" s="11" t="inlineStr"/>
      <c r="AA32" s="12" t="inlineStr">
        <is>
          <t>Não</t>
        </is>
      </c>
      <c r="AB32" s="13" t="n">
        <v>46095</v>
      </c>
    </row>
    <row r="33" ht="40" customHeight="1">
      <c r="A33" s="4" t="inlineStr">
        <is>
          <t>MODAJOI-100066</t>
        </is>
      </c>
      <c r="B33" s="5" t="inlineStr">
        <is>
          <t>Relatório de detalhamento de custos duplica valor de FCP -ERP</t>
        </is>
      </c>
      <c r="C33" s="5" t="inlineStr">
        <is>
          <t>Concluída</t>
        </is>
      </c>
      <c r="D33" s="5" t="inlineStr">
        <is>
          <t>P1 - Alto</t>
        </is>
      </c>
      <c r="E33" s="6" t="n">
        <v>46078</v>
      </c>
      <c r="F33" s="6" t="n">
        <v>46092</v>
      </c>
      <c r="G33" s="7">
        <f>IF(OR(E33="",F33=""),"",INT(F33-E33))</f>
        <v/>
      </c>
      <c r="H33" s="5" t="inlineStr">
        <is>
          <t>Jhony Kennyth Viebrantz</t>
        </is>
      </c>
      <c r="I33" s="5" t="inlineStr">
        <is>
          <t>Caroline Becker Gonçalves Corrêa</t>
        </is>
      </c>
      <c r="J33" s="5" t="n">
        <v>1</v>
      </c>
      <c r="K33" s="5" t="inlineStr"/>
      <c r="L33" s="9" t="inlineStr">
        <is>
          <t>Suprimentos</t>
        </is>
      </c>
      <c r="M33" s="9" t="inlineStr"/>
      <c r="N33" s="9" t="inlineStr">
        <is>
          <t>Correção Código</t>
        </is>
      </c>
      <c r="O33" s="10" t="inlineStr">
        <is>
          <t>[Alteração no código] Feito o ajuste conforme Épico MODAJOI-31323 onde é tratado para calcular o FcpStAntecipado quando houver FCPST.</t>
        </is>
      </c>
      <c r="P33" s="11" t="inlineStr"/>
      <c r="Q33" s="11" t="inlineStr"/>
      <c r="R33" s="11" t="inlineStr">
        <is>
          <t>Sim</t>
        </is>
      </c>
      <c r="S33" s="11" t="inlineStr">
        <is>
          <t>CD01-Emissao Do Relatorio Detalhamento de Custos
CD02-Emissao Do Relatorio Detalhamento de Custos - Verificar Coluna Nota Origem
CD03-Emissao Do Relatorio Detalhamento de Custos - Apenas Nota de Entrada
(+2 mais)</t>
        </is>
      </c>
      <c r="T33" s="11" t="inlineStr"/>
      <c r="U33" s="11" t="inlineStr"/>
      <c r="V33" s="11" t="inlineStr"/>
      <c r="W33" s="11" t="inlineStr"/>
      <c r="X33" s="11" t="inlineStr"/>
      <c r="Y33" s="11" t="inlineStr"/>
      <c r="Z33" s="11" t="inlineStr"/>
      <c r="AA33" s="12" t="inlineStr">
        <is>
          <t>Não</t>
        </is>
      </c>
      <c r="AB33" s="13" t="n">
        <v>46095</v>
      </c>
    </row>
    <row r="34" ht="40" customHeight="1">
      <c r="A34" s="4" t="inlineStr">
        <is>
          <t>MODAJOI-100597</t>
        </is>
      </c>
      <c r="B34" s="5" t="inlineStr">
        <is>
          <t>Erro SQL ao acessar Portal ==================================</t>
        </is>
      </c>
      <c r="C34" s="5" t="inlineStr">
        <is>
          <t>Concluída</t>
        </is>
      </c>
      <c r="D34" s="5" t="inlineStr">
        <is>
          <t>P1 - Alto</t>
        </is>
      </c>
      <c r="E34" s="6" t="n">
        <v>46092</v>
      </c>
      <c r="F34" s="6" t="n">
        <v>46092</v>
      </c>
      <c r="G34" s="7">
        <f>IF(OR(E34="",F34=""),"",INT(F34-E34))</f>
        <v/>
      </c>
      <c r="H34" s="5" t="inlineStr">
        <is>
          <t>Nelson Campagnaro Junior</t>
        </is>
      </c>
      <c r="I34" s="5" t="inlineStr">
        <is>
          <t>Nelson Campagnaro Junior</t>
        </is>
      </c>
      <c r="J34" s="5" t="n">
        <v>1</v>
      </c>
      <c r="K34" s="5" t="inlineStr">
        <is>
          <t>Erro SQL ao acessar Portal ==================================</t>
        </is>
      </c>
      <c r="L34" s="9" t="inlineStr">
        <is>
          <t>Não Mapeado</t>
        </is>
      </c>
      <c r="M34" s="9" t="inlineStr">
        <is>
          <t>Não Mapeado</t>
        </is>
      </c>
      <c r="N34" s="9" t="inlineStr">
        <is>
          <t>Banco de Dados</t>
        </is>
      </c>
      <c r="O34" s="10" t="inlineStr">
        <is>
          <t>Erro de banco de dados causado na reativação do portal via MODAJOI-99848.</t>
        </is>
      </c>
      <c r="P34" s="11" t="inlineStr"/>
      <c r="Q34" s="11" t="inlineStr"/>
      <c r="R34" s="11" t="inlineStr">
        <is>
          <t>Sim</t>
        </is>
      </c>
      <c r="S34" s="11" t="inlineStr">
        <is>
          <t>CD02-Gerar Ticket Manual com Base Central
CD01- Pequisar Portal Multimarca
CD01-Verificar Disponibilidade de Vinculo Para Portal Rede
(+2 mais)</t>
        </is>
      </c>
      <c r="T34" s="11" t="inlineStr"/>
      <c r="U34" s="11" t="inlineStr"/>
      <c r="V34" s="11" t="inlineStr"/>
      <c r="W34" s="11" t="inlineStr"/>
      <c r="X34" s="11" t="inlineStr"/>
      <c r="Y34" s="11" t="inlineStr"/>
      <c r="Z34" s="11" t="inlineStr"/>
      <c r="AA34" s="12" t="inlineStr">
        <is>
          <t>Não</t>
        </is>
      </c>
      <c r="AB34" s="13" t="n">
        <v>46095</v>
      </c>
    </row>
    <row r="35" ht="40" customHeight="1">
      <c r="A35" s="4" t="inlineStr">
        <is>
          <t>MODAJOI-100650</t>
        </is>
      </c>
      <c r="B35" s="5" t="inlineStr">
        <is>
          <t>ERP - venda não apresenta os dois seguros vendidos ==================================</t>
        </is>
      </c>
      <c r="C35" s="5" t="inlineStr">
        <is>
          <t>Concluída</t>
        </is>
      </c>
      <c r="D35" s="5" t="inlineStr">
        <is>
          <t>P1 - Alto</t>
        </is>
      </c>
      <c r="E35" s="6" t="n">
        <v>46093</v>
      </c>
      <c r="F35" s="6" t="n">
        <v>46093</v>
      </c>
      <c r="G35" s="7">
        <f>IF(OR(E35="",F35=""),"",INT(F35-E35))</f>
        <v/>
      </c>
      <c r="H35" s="5" t="inlineStr">
        <is>
          <t>Anderson Petry</t>
        </is>
      </c>
      <c r="I35" s="5" t="inlineStr">
        <is>
          <t>Anderson Petry</t>
        </is>
      </c>
      <c r="J35" s="5" t="n">
        <v>1</v>
      </c>
      <c r="K35" s="5" t="inlineStr">
        <is>
          <t>ERP - venda não apresenta os dois seguros vendidos ==================================</t>
        </is>
      </c>
      <c r="L35" s="9" t="inlineStr">
        <is>
          <t>FFC</t>
        </is>
      </c>
      <c r="M35" s="9" t="inlineStr">
        <is>
          <t>NF-e</t>
        </is>
      </c>
      <c r="N35" s="9" t="inlineStr">
        <is>
          <t>Banco de Dados</t>
        </is>
      </c>
      <c r="O35" s="10" t="inlineStr">
        <is>
          <t>ao verificar no BD os seguros são listados: e ao conferir no relatório também esta listando.</t>
        </is>
      </c>
      <c r="P35" s="11" t="inlineStr"/>
      <c r="Q35" s="11" t="inlineStr"/>
      <c r="R35" s="11" t="inlineStr">
        <is>
          <t>Sim</t>
        </is>
      </c>
      <c r="S35" s="11" t="inlineStr">
        <is>
          <t>CD18-Venda com Destaque de IPI Com Dois Itens
CD02-Venda com Dois Itens com Cliente Pessoa Física e Troca
CD04-Faturamento Formas Pagamento Pix + Dois Cartoes Credito
(+2 mais)</t>
        </is>
      </c>
      <c r="T35" s="11" t="inlineStr"/>
      <c r="U35" s="11" t="inlineStr"/>
      <c r="V35" s="11" t="inlineStr"/>
      <c r="W35" s="11" t="inlineStr">
        <is>
          <t>Flavia Doge</t>
        </is>
      </c>
      <c r="X35" s="11" t="inlineStr">
        <is>
          <t>Jean Carlos</t>
        </is>
      </c>
      <c r="Y35" s="11" t="inlineStr"/>
      <c r="Z35" s="11" t="inlineStr"/>
      <c r="AA35" s="12" t="inlineStr">
        <is>
          <t>Não</t>
        </is>
      </c>
      <c r="AB35" s="13" t="n">
        <v>46095</v>
      </c>
    </row>
    <row r="36" ht="40" customHeight="1">
      <c r="A36" s="4" t="inlineStr">
        <is>
          <t>MODAJOI-100362</t>
        </is>
      </c>
      <c r="B36" s="5" t="inlineStr">
        <is>
          <t>Na rotina ERP &gt; Faturamentos &gt; Exportação de Dados, ao processar a configuração “Electrolux Venda/Cancelamento de Seguros (6461)” no Linx Microvix, as exportações vêm sendo finalizadas de forma int...</t>
        </is>
      </c>
      <c r="C36" s="5" t="inlineStr">
        <is>
          <t>Concluída</t>
        </is>
      </c>
      <c r="D36" s="5" t="inlineStr">
        <is>
          <t>P1 - Alto</t>
        </is>
      </c>
      <c r="E36" s="6" t="n">
        <v>46085</v>
      </c>
      <c r="F36" s="6" t="n">
        <v>46094</v>
      </c>
      <c r="G36" s="7">
        <f>IF(OR(E36="",F36=""),"",INT(F36-E36))</f>
        <v/>
      </c>
      <c r="H36" s="5" t="inlineStr">
        <is>
          <t>Anderson Petry</t>
        </is>
      </c>
      <c r="I36" s="5" t="inlineStr">
        <is>
          <t>Anderson Petry</t>
        </is>
      </c>
      <c r="J36" s="5" t="n">
        <v>0</v>
      </c>
      <c r="K36" s="5" t="inlineStr">
        <is>
          <t>Na rotina ERP &gt; Faturamentos &gt; Exportação de Dados, ao processar a configuração “Electrolux Venda/Cancelamento de Seguros (6461)” no Linx Microvix, as exportações vêm sendo finalizadas de forma intermitente com o status “Concluído com erro”, conforme demonstrado no histórico de processamentos (ID...</t>
        </is>
      </c>
      <c r="L36" s="9" t="inlineStr">
        <is>
          <t>Não Mapeado</t>
        </is>
      </c>
      <c r="M36" s="9" t="inlineStr">
        <is>
          <t>Não Mapeado</t>
        </is>
      </c>
      <c r="N36" s="9" t="inlineStr">
        <is>
          <t>Configuração</t>
        </is>
      </c>
      <c r="O36" s="10" t="inlineStr">
        <is>
          <t>verificado que está sendo gerado normalmente, e o problema reportado foi de uma venda de seguro onde faltava subir pra nuvem o plano de pagamento de seguro, provalvemte teve uma rejeição de NFe e depois a venda foi alterada para NFCe. Feito o retroativo, caso surja um novo caso pegar o log do POS. Correção liberada na versão abaixo https://setupbr.microvix.com.br/homologacao-manualonly/LinxMicr...</t>
        </is>
      </c>
      <c r="P36" s="11" t="inlineStr"/>
      <c r="Q36" s="11" t="inlineStr"/>
      <c r="R36" s="11" t="inlineStr">
        <is>
          <t>Sim</t>
        </is>
      </c>
      <c r="S36" s="11" t="inlineStr">
        <is>
          <t>CD04-Realizar uma Venda Mista e Cancelamento do Pedido
CD05-Realizar uma Venda Vitrine e Cancelar o Pedido
CD05-Implantacao de Novo Portal - Informar Dados Bancarios
(+2 mais)</t>
        </is>
      </c>
      <c r="T36" s="11" t="inlineStr"/>
      <c r="U36" s="11" t="inlineStr"/>
      <c r="V36" s="11" t="inlineStr"/>
      <c r="W36" s="11" t="inlineStr"/>
      <c r="X36" s="11" t="inlineStr"/>
      <c r="Y36" s="11" t="inlineStr"/>
      <c r="Z36" s="11" t="inlineStr"/>
      <c r="AA36" s="12" t="inlineStr">
        <is>
          <t>Não</t>
        </is>
      </c>
      <c r="AB36" s="13" t="n">
        <v>46095</v>
      </c>
    </row>
    <row r="37" ht="40" customHeight="1">
      <c r="A37" s="4" t="inlineStr">
        <is>
          <t>MODAJOI-100566</t>
        </is>
      </c>
      <c r="B37" s="5" t="inlineStr">
        <is>
          <t>Rejeição 929  CST de Diferimento sem informações - ERP</t>
        </is>
      </c>
      <c r="C37" s="5" t="inlineStr">
        <is>
          <t>Concluída</t>
        </is>
      </c>
      <c r="D37" s="5" t="inlineStr">
        <is>
          <t>P1 - Alto</t>
        </is>
      </c>
      <c r="E37" s="6" t="n">
        <v>46091</v>
      </c>
      <c r="F37" s="6" t="n">
        <v>46093</v>
      </c>
      <c r="G37" s="7">
        <f>IF(OR(E37="",F37=""),"",INT(F37-E37))</f>
        <v/>
      </c>
      <c r="H37" s="5" t="inlineStr">
        <is>
          <t>Jhony Kennyth Viebrantz</t>
        </is>
      </c>
      <c r="I37" s="5" t="inlineStr">
        <is>
          <t>Jhony Kennyth Viebrantz</t>
        </is>
      </c>
      <c r="J37" s="5" t="n">
        <v>0</v>
      </c>
      <c r="K37" s="5" t="inlineStr"/>
      <c r="L37" s="9" t="inlineStr">
        <is>
          <t>Suprimentos</t>
        </is>
      </c>
      <c r="M37" s="9" t="inlineStr"/>
      <c r="N37" s="9" t="inlineStr">
        <is>
          <t>Banco de Dados</t>
        </is>
      </c>
      <c r="O37" s="10" t="inlineStr">
        <is>
          <t>Feito a nota pontualmente, pois a correção efetiva sairá na demanda # MODAJOI-100388</t>
        </is>
      </c>
      <c r="P37" s="11" t="inlineStr"/>
      <c r="Q37" s="11" t="inlineStr"/>
      <c r="R37" s="11" t="inlineStr">
        <is>
          <t>Sim</t>
        </is>
      </c>
      <c r="S37" s="11" t="inlineStr">
        <is>
          <t>CD005-Pre Venda Rejeicao por CST Incorreta
CD15-Devolucao de Compras com uma rejeição da nota
CD01 - Gerar nota de devolução a partir do produto com Venda CST 0.00 com cliente pessoa física do mesmo estado
(+2 mais)</t>
        </is>
      </c>
      <c r="T37" s="11" t="inlineStr"/>
      <c r="U37" s="11" t="inlineStr"/>
      <c r="V37" s="11" t="inlineStr"/>
      <c r="W37" s="11" t="inlineStr"/>
      <c r="X37" s="11" t="inlineStr"/>
      <c r="Y37" s="11" t="inlineStr"/>
      <c r="Z37" s="11" t="inlineStr"/>
      <c r="AA37" s="12" t="inlineStr">
        <is>
          <t>Não</t>
        </is>
      </c>
      <c r="AB37" s="13" t="n">
        <v>46095</v>
      </c>
    </row>
  </sheetData>
  <dataValidations count="5">
    <dataValidation sqref="Q2:Q87" showDropDown="0" showInputMessage="0" showErrorMessage="0" allowBlank="1" type="list">
      <formula1>"Código,Banco de Dados,Infraestrutura,Terceiros"</formula1>
    </dataValidation>
    <dataValidation sqref="R2:R87" showDropDown="0" showInputMessage="0" showErrorMessage="0" allowBlank="1" type="list">
      <formula1>"Sim,Não"</formula1>
    </dataValidation>
    <dataValidation sqref="T2:T87" showDropDown="0" showInputMessage="0" showErrorMessage="0" allowBlank="1" type="list">
      <formula1>"Detectou problema,Não detectou,Não se Aplica"</formula1>
    </dataValidation>
    <dataValidation sqref="V2:V87" showDropDown="0" showInputMessage="0" showErrorMessage="0" allowBlank="1" type="list">
      <formula1>"Sim,Não"</formula1>
    </dataValidation>
    <dataValidation sqref="AA2:AA87" showDropDown="0" showInputMessage="0" showErrorMessage="0" allowBlank="1" type="list">
      <formula1>"Sim,Não"</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s>
  <pageMargins left="0.75" right="0.75" top="1" bottom="1" header="0.5" footer="0.5"/>
  <tableParts count="1">
    <tablePart xmlns:r="http://schemas.openxmlformats.org/officeDocument/2006/relationships" r:id="rId11"/>
  </tableParts>
</worksheet>
</file>

<file path=xl/worksheets/sheet2.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22" customWidth="1" min="3" max="3"/>
    <col width="22" customWidth="1" min="4" max="4"/>
    <col width="45" customWidth="1" min="5" max="5"/>
    <col width="18" customWidth="1" min="6" max="6"/>
    <col width="14" customWidth="1" min="7" max="7"/>
    <col width="14" customWidth="1" min="8" max="8"/>
    <col width="40" customWidth="1" min="9" max="9"/>
  </cols>
  <sheetData>
    <row r="1" ht="32" customHeight="1">
      <c r="A1" s="16" t="inlineStr">
        <is>
          <t>Issue Acompanhamento</t>
        </is>
      </c>
      <c r="B1" s="16" t="inlineStr">
        <is>
          <t>Issue Original</t>
        </is>
      </c>
      <c r="C1" s="16" t="inlineStr">
        <is>
          <t>Responsável</t>
        </is>
      </c>
      <c r="D1" s="16" t="inlineStr">
        <is>
          <t>Área</t>
        </is>
      </c>
      <c r="E1" s="16" t="inlineStr">
        <is>
          <t>Ação</t>
        </is>
      </c>
      <c r="F1" s="16" t="inlineStr">
        <is>
          <t>Status da Ação</t>
        </is>
      </c>
      <c r="G1" s="16" t="inlineStr">
        <is>
          <t>Data Limite</t>
        </is>
      </c>
      <c r="H1" s="16" t="inlineStr">
        <is>
          <t>Data Conclusão</t>
        </is>
      </c>
      <c r="I1" s="16" t="inlineStr">
        <is>
          <t>Observação</t>
        </is>
      </c>
    </row>
    <row r="2" ht="20" customHeight="1">
      <c r="A2" s="17" t="inlineStr">
        <is>
          <t>240301</t>
        </is>
      </c>
      <c r="B2" s="18" t="inlineStr">
        <is>
          <t>MODAJOI-100934</t>
        </is>
      </c>
      <c r="C2" s="19" t="inlineStr">
        <is>
          <t>Altimara</t>
        </is>
      </c>
      <c r="D2" s="19" t="inlineStr">
        <is>
          <t>Sustentação</t>
        </is>
      </c>
      <c r="E2" s="19" t="inlineStr">
        <is>
          <t>Criar mais um cenário para PJ</t>
        </is>
      </c>
      <c r="F2" s="20" t="inlineStr">
        <is>
          <t>Análise</t>
        </is>
      </c>
      <c r="G2" s="19" t="n"/>
      <c r="H2" s="19" t="n"/>
      <c r="I2" s="21" t="inlineStr"/>
    </row>
    <row r="3" ht="20" customHeight="1">
      <c r="A3" s="17" t="inlineStr">
        <is>
          <t>240302</t>
        </is>
      </c>
      <c r="B3" s="18" t="inlineStr">
        <is>
          <t>MODAJOI-100979</t>
        </is>
      </c>
      <c r="C3" s="19" t="inlineStr">
        <is>
          <t>Alessandra/Murilo</t>
        </is>
      </c>
      <c r="D3" s="19" t="inlineStr">
        <is>
          <t>Arquitetura</t>
        </is>
      </c>
      <c r="E3" s="19" t="inlineStr">
        <is>
          <t>Verificar uma maneira de, assim como trocamos de ambiente, fazer a troca para usuários para rodar os testes (ao menos CI/CD) automatizados de forma geral</t>
        </is>
      </c>
      <c r="F3" s="20" t="inlineStr">
        <is>
          <t>Análise</t>
        </is>
      </c>
      <c r="G3" s="19" t="n"/>
      <c r="H3" s="19" t="n"/>
      <c r="I3" s="21" t="inlineStr"/>
    </row>
    <row r="4" ht="20" customHeight="1">
      <c r="A4" s="17" t="inlineStr">
        <is>
          <t>Pendente 5</t>
        </is>
      </c>
      <c r="B4" s="18" t="inlineStr">
        <is>
          <t>MODAJOI-100396</t>
        </is>
      </c>
      <c r="C4" s="19" t="inlineStr">
        <is>
          <t>Deivis</t>
        </is>
      </c>
      <c r="D4" s="19" t="inlineStr">
        <is>
          <t>Sustentação</t>
        </is>
      </c>
      <c r="E4" s="19" t="inlineStr">
        <is>
          <t>Cobrar o fornecedor uma solução definitiva</t>
        </is>
      </c>
      <c r="F4" s="22" t="inlineStr">
        <is>
          <t>Andamento</t>
        </is>
      </c>
      <c r="G4" s="19" t="n"/>
      <c r="H4" s="19" t="n"/>
      <c r="I4" s="21" t="inlineStr">
        <is>
          <t>24/03 – Já foi cobrado e o Fornecedor informa que ainda está avaliando.</t>
        </is>
      </c>
    </row>
    <row r="5" ht="20" customHeight="1">
      <c r="A5" s="17" t="inlineStr">
        <is>
          <t>Pendente</t>
        </is>
      </c>
      <c r="B5" s="18" t="inlineStr">
        <is>
          <t>MODAJOI-100652</t>
        </is>
      </c>
      <c r="C5" s="19" t="inlineStr">
        <is>
          <t>Altimara</t>
        </is>
      </c>
      <c r="D5" s="19" t="inlineStr">
        <is>
          <t>Sustentação</t>
        </is>
      </c>
      <c r="E5" s="19" t="inlineStr">
        <is>
          <t>Criar Teste Automatizado</t>
        </is>
      </c>
      <c r="F5" s="20" t="inlineStr">
        <is>
          <t>Análise</t>
        </is>
      </c>
      <c r="G5" s="19" t="n"/>
      <c r="H5" s="19" t="n"/>
      <c r="I5" s="21" t="inlineStr"/>
    </row>
    <row r="6" ht="20" customHeight="1">
      <c r="A6" s="17" t="inlineStr">
        <is>
          <t>Pendente 5</t>
        </is>
      </c>
      <c r="B6" s="18" t="inlineStr">
        <is>
          <t>MODAJOI-100187</t>
        </is>
      </c>
      <c r="C6" s="19" t="inlineStr">
        <is>
          <t>Deivis</t>
        </is>
      </c>
      <c r="D6" s="19" t="inlineStr">
        <is>
          <t>Sustentação</t>
        </is>
      </c>
      <c r="E6" s="19" t="inlineStr">
        <is>
          <t>Cobrar o fornecedor uma solução definitiva</t>
        </is>
      </c>
      <c r="F6" s="22" t="inlineStr">
        <is>
          <t>Andamento</t>
        </is>
      </c>
      <c r="G6" s="19" t="n"/>
      <c r="H6" s="19" t="n"/>
      <c r="I6" s="21" t="inlineStr">
        <is>
          <t>24/03 – Já foi cobrado e o Fornecedor informa que ainda está avaliando.</t>
        </is>
      </c>
    </row>
    <row r="7" ht="20" customHeight="1">
      <c r="A7" s="17" t="inlineStr">
        <is>
          <t>Pendente 4</t>
        </is>
      </c>
      <c r="B7" s="18" t="inlineStr">
        <is>
          <t>MODAJOI-100461</t>
        </is>
      </c>
      <c r="C7" s="19" t="inlineStr">
        <is>
          <t>Deivis</t>
        </is>
      </c>
      <c r="D7" s="19" t="inlineStr">
        <is>
          <t>Sustentação</t>
        </is>
      </c>
      <c r="E7" s="19" t="inlineStr">
        <is>
          <t>Fazer uma busca para validar se a blindagem pela quantidade para a sincronização de perdeu</t>
        </is>
      </c>
      <c r="F7" s="23" t="inlineStr">
        <is>
          <t>Concluído</t>
        </is>
      </c>
      <c r="G7" s="19" t="n"/>
      <c r="H7" s="24" t="n">
        <v>46105</v>
      </c>
      <c r="I7" s="21" t="inlineStr">
        <is>
          <t>Será aberto um bug interno para corrigir a situação.</t>
        </is>
      </c>
    </row>
    <row r="8" ht="20" customHeight="1">
      <c r="A8" s="17" t="inlineStr">
        <is>
          <t>https://jira.linx.com.br/browse/MODAJOI-101007</t>
        </is>
      </c>
      <c r="B8" s="18" t="inlineStr">
        <is>
          <t>MODAJOI-100418</t>
        </is>
      </c>
      <c r="C8" s="19" t="inlineStr">
        <is>
          <t>Ademir</t>
        </is>
      </c>
      <c r="D8" s="19" t="inlineStr">
        <is>
          <t>FatInt</t>
        </is>
      </c>
      <c r="E8" s="19" t="inlineStr">
        <is>
          <t xml:space="preserve">Criar um item para analisar a correção definitiva as Rejeições 865 e 866 </t>
        </is>
      </c>
      <c r="F8" s="22" t="inlineStr">
        <is>
          <t>Andamento</t>
        </is>
      </c>
      <c r="G8" s="19" t="n"/>
      <c r="H8" s="19" t="n"/>
      <c r="I8" s="21" t="inlineStr"/>
    </row>
    <row r="9" ht="20" customHeight="1">
      <c r="A9" s="17" t="inlineStr">
        <is>
          <t>https://jira.linx.com.br/browse/MODAJOI-101142</t>
        </is>
      </c>
      <c r="B9" s="18" t="inlineStr">
        <is>
          <t>MODAJOI-100578</t>
        </is>
      </c>
      <c r="C9" s="19" t="inlineStr">
        <is>
          <t>Ademir</t>
        </is>
      </c>
      <c r="D9" s="19" t="inlineStr">
        <is>
          <t>FatInt</t>
        </is>
      </c>
      <c r="E9" s="19" t="inlineStr">
        <is>
          <t>Analisar e criar TA se houver possibilidade</t>
        </is>
      </c>
      <c r="F9" s="22" t="inlineStr">
        <is>
          <t>Andamento</t>
        </is>
      </c>
      <c r="G9" s="19" t="n"/>
      <c r="H9" s="19" t="n"/>
      <c r="I9" s="21" t="inlineStr"/>
    </row>
    <row r="10" ht="20" customHeight="1">
      <c r="A10" s="17" t="inlineStr">
        <is>
          <t>https://jira.linx.com.br/browse/MODAJOI-101105 e https://jira.linx.com.br/browse/MODAJOI-101106</t>
        </is>
      </c>
      <c r="B10" s="18" t="inlineStr">
        <is>
          <t>MODAJOI-100270</t>
        </is>
      </c>
      <c r="C10" s="19" t="inlineStr">
        <is>
          <t>Debora</t>
        </is>
      </c>
      <c r="D10" s="19" t="inlineStr">
        <is>
          <t>Sustentação</t>
        </is>
      </c>
      <c r="E10" s="19" t="inlineStr">
        <is>
          <t>Criar Teste Automatizado</t>
        </is>
      </c>
      <c r="F10" s="22" t="inlineStr">
        <is>
          <t>Andamento</t>
        </is>
      </c>
      <c r="G10" s="19" t="n"/>
      <c r="H10" s="19" t="n"/>
      <c r="I10" s="21" t="inlineStr"/>
    </row>
    <row r="11" ht="20" customHeight="1">
      <c r="A11" s="25" t="n"/>
      <c r="B11" s="25" t="n"/>
      <c r="C11" s="25" t="n"/>
      <c r="D11" s="25" t="n"/>
      <c r="E11" s="25" t="n"/>
      <c r="F11" s="25" t="n"/>
      <c r="G11" s="25" t="n"/>
      <c r="H11" s="25" t="n"/>
      <c r="I11" s="25" t="n"/>
    </row>
    <row r="12" ht="20" customHeight="1">
      <c r="A12" s="25" t="n"/>
      <c r="B12" s="25" t="n"/>
      <c r="C12" s="25" t="n"/>
      <c r="D12" s="25" t="n"/>
      <c r="E12" s="25" t="n"/>
      <c r="F12" s="25" t="n"/>
      <c r="G12" s="25" t="n"/>
      <c r="H12" s="25" t="n"/>
      <c r="I12" s="25" t="n"/>
    </row>
    <row r="13" ht="20" customHeight="1">
      <c r="A13" s="25" t="n"/>
      <c r="B13" s="25" t="n"/>
      <c r="C13" s="25" t="n"/>
      <c r="D13" s="25" t="n"/>
      <c r="E13" s="25" t="n"/>
      <c r="F13" s="25" t="n"/>
      <c r="G13" s="25" t="n"/>
      <c r="H13" s="25" t="n"/>
      <c r="I13" s="25" t="n"/>
    </row>
    <row r="14" ht="20" customHeight="1">
      <c r="A14" s="25" t="n"/>
      <c r="B14" s="25" t="n"/>
      <c r="C14" s="25" t="n"/>
      <c r="D14" s="25" t="n"/>
      <c r="E14" s="25" t="n"/>
      <c r="F14" s="25" t="n"/>
      <c r="G14" s="25" t="n"/>
      <c r="H14" s="25" t="n"/>
      <c r="I14" s="25" t="n"/>
    </row>
    <row r="15" ht="20" customHeight="1">
      <c r="A15" s="25" t="n"/>
      <c r="B15" s="25" t="n"/>
      <c r="C15" s="25" t="n"/>
      <c r="D15" s="25" t="n"/>
      <c r="E15" s="25" t="n"/>
      <c r="F15" s="25" t="n"/>
      <c r="G15" s="25" t="n"/>
      <c r="H15" s="25" t="n"/>
      <c r="I15" s="25" t="n"/>
    </row>
    <row r="16" ht="20" customHeight="1">
      <c r="A16" s="25" t="n"/>
      <c r="B16" s="25" t="n"/>
      <c r="C16" s="25" t="n"/>
      <c r="D16" s="25" t="n"/>
      <c r="E16" s="25" t="n"/>
      <c r="F16" s="25" t="n"/>
      <c r="G16" s="25" t="n"/>
      <c r="H16" s="25" t="n"/>
      <c r="I16" s="25" t="n"/>
    </row>
    <row r="17" ht="20" customHeight="1">
      <c r="A17" s="25" t="n"/>
      <c r="B17" s="25" t="n"/>
      <c r="C17" s="25" t="n"/>
      <c r="D17" s="25" t="n"/>
      <c r="E17" s="25" t="n"/>
      <c r="F17" s="25" t="n"/>
      <c r="G17" s="25" t="n"/>
      <c r="H17" s="25" t="n"/>
      <c r="I17" s="25" t="n"/>
    </row>
    <row r="18" ht="20" customHeight="1">
      <c r="A18" s="25" t="n"/>
      <c r="B18" s="25" t="n"/>
      <c r="C18" s="25" t="n"/>
      <c r="D18" s="25" t="n"/>
      <c r="E18" s="25" t="n"/>
      <c r="F18" s="25" t="n"/>
      <c r="G18" s="25" t="n"/>
      <c r="H18" s="25" t="n"/>
      <c r="I18" s="25" t="n"/>
    </row>
    <row r="19" ht="20" customHeight="1">
      <c r="A19" s="25" t="n"/>
      <c r="B19" s="25" t="n"/>
      <c r="C19" s="25" t="n"/>
      <c r="D19" s="25" t="n"/>
      <c r="E19" s="25" t="n"/>
      <c r="F19" s="25" t="n"/>
      <c r="G19" s="25" t="n"/>
      <c r="H19" s="25" t="n"/>
      <c r="I19" s="25" t="n"/>
    </row>
    <row r="20" ht="20" customHeight="1">
      <c r="A20" s="25" t="n"/>
      <c r="B20" s="25" t="n"/>
      <c r="C20" s="25" t="n"/>
      <c r="D20" s="25" t="n"/>
      <c r="E20" s="25" t="n"/>
      <c r="F20" s="25" t="n"/>
      <c r="G20" s="25" t="n"/>
      <c r="H20" s="25" t="n"/>
      <c r="I20" s="25" t="n"/>
    </row>
    <row r="21" ht="20" customHeight="1">
      <c r="A21" s="25" t="n"/>
      <c r="B21" s="25" t="n"/>
      <c r="C21" s="25" t="n"/>
      <c r="D21" s="25" t="n"/>
      <c r="E21" s="25" t="n"/>
      <c r="F21" s="25" t="n"/>
      <c r="G21" s="25" t="n"/>
      <c r="H21" s="25" t="n"/>
      <c r="I21" s="25" t="n"/>
    </row>
  </sheetData>
  <dataValidations count="2">
    <dataValidation sqref="F2:F60" showDropDown="0" showInputMessage="0" showErrorMessage="0" allowBlank="1" type="list">
      <formula1>"Análise,Andamento,Bloqueado,Concluído"</formula1>
    </dataValidation>
    <dataValidation sqref="D2:D60" showDropDown="0" showInputMessage="0" showErrorMessage="0" allowBlank="1" type="list">
      <formula1>"FFC,FatInt,SupCrmImp,Sustentação,Arquitetura"</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5" customWidth="1" min="3" max="3"/>
    <col width="13" customWidth="1" min="4" max="4"/>
    <col width="14" customWidth="1" min="5" max="5"/>
    <col width="14" customWidth="1" min="6" max="6"/>
    <col width="14" customWidth="1" min="7" max="7"/>
    <col width="20" customWidth="1" min="8" max="8"/>
    <col width="20" customWidth="1" min="9" max="9"/>
    <col width="13" customWidth="1" min="10" max="10"/>
    <col width="40" customWidth="1" min="11" max="11"/>
    <col width="16" customWidth="1" min="12" max="12"/>
    <col width="18" customWidth="1" min="13" max="13"/>
    <col width="18" customWidth="1" min="14" max="14"/>
    <col width="50" customWidth="1" min="15" max="15"/>
    <col width="40" customWidth="1" min="16" max="16"/>
    <col width="22" customWidth="1" min="17" max="17"/>
    <col width="14" customWidth="1" min="18" max="18"/>
    <col width="35" customWidth="1" min="19" max="19"/>
    <col width="20" customWidth="1" min="20" max="20"/>
    <col width="40" customWidth="1" min="21" max="21"/>
    <col width="18" customWidth="1" min="22" max="22"/>
    <col width="18" customWidth="1" min="23" max="23"/>
    <col width="18" customWidth="1" min="24" max="24"/>
    <col width="18" customWidth="1" min="25" max="25"/>
    <col width="32" customWidth="1" min="26" max="26"/>
    <col width="16" customWidth="1" min="27" max="27"/>
  </cols>
  <sheetData>
    <row r="1" ht="32" customHeight="1">
      <c r="A1" s="26" t="inlineStr">
        <is>
          <t>Key</t>
        </is>
      </c>
      <c r="B1" s="26" t="inlineStr">
        <is>
          <t>Resumo</t>
        </is>
      </c>
      <c r="C1" s="26" t="inlineStr">
        <is>
          <t>Status Jira</t>
        </is>
      </c>
      <c r="D1" s="26" t="inlineStr">
        <is>
          <t>Prioridade</t>
        </is>
      </c>
      <c r="E1" s="26" t="inlineStr">
        <is>
          <t>Data Criação</t>
        </is>
      </c>
      <c r="F1" s="26" t="inlineStr">
        <is>
          <t>Data Resolução</t>
        </is>
      </c>
      <c r="G1" s="26" t="inlineStr">
        <is>
          <t>Dias p/ Resolver</t>
        </is>
      </c>
      <c r="H1" s="26" t="inlineStr">
        <is>
          <t>DeV Responsável pelo Bug</t>
        </is>
      </c>
      <c r="I1" s="26" t="inlineStr">
        <is>
          <t>QA Responsável pelo Bug</t>
        </is>
      </c>
      <c r="J1" s="26" t="inlineStr">
        <is>
          <t>Qtd Vínculos</t>
        </is>
      </c>
      <c r="K1" s="26" t="inlineStr">
        <is>
          <t>Causa Raiz</t>
        </is>
      </c>
      <c r="L1" s="26" t="inlineStr">
        <is>
          <t>Time</t>
        </is>
      </c>
      <c r="M1" s="26" t="inlineStr">
        <is>
          <t>Área</t>
        </is>
      </c>
      <c r="N1" s="26" t="inlineStr">
        <is>
          <t>Tipo Erro (Auto)</t>
        </is>
      </c>
      <c r="O1" s="26" t="inlineStr">
        <is>
          <t>Ação Realizada no Bug</t>
        </is>
      </c>
      <c r="P1" s="26" t="inlineStr">
        <is>
          <t>Análise da Causa</t>
        </is>
      </c>
      <c r="Q1" s="26" t="inlineStr">
        <is>
          <t>Tipo de Ajuste</t>
        </is>
      </c>
      <c r="R1" s="26" t="inlineStr">
        <is>
          <t>Possui TA</t>
        </is>
      </c>
      <c r="S1" s="26" t="inlineStr">
        <is>
          <t>Arquivo TA</t>
        </is>
      </c>
      <c r="T1" s="26" t="inlineStr">
        <is>
          <t>Resultado da Automação</t>
        </is>
      </c>
      <c r="U1" s="26" t="inlineStr">
        <is>
          <t>Contexto</t>
        </is>
      </c>
      <c r="V1" s="26" t="inlineStr">
        <is>
          <t>Problema Resolvido?</t>
        </is>
      </c>
      <c r="W1" s="26" t="inlineStr">
        <is>
          <t>QA Principal</t>
        </is>
      </c>
      <c r="X1" s="26" t="inlineStr">
        <is>
          <t>Dev Principal</t>
        </is>
      </c>
      <c r="Y1" s="26" t="inlineStr">
        <is>
          <t>Issue de Acompanhamento</t>
        </is>
      </c>
      <c r="Z1" s="26" t="inlineStr">
        <is>
          <t>Plano Ação/Lição Aprendida</t>
        </is>
      </c>
      <c r="AA1" s="26" t="inlineStr">
        <is>
          <t>Data Arquivamento</t>
        </is>
      </c>
    </row>
    <row r="4">
      <c r="A4" s="27" t="inlineStr">
        <is>
          <t>ℹ️ Issues com Analisado=Sim importadas há mais de 30 dias são movidas para esta aba automaticamente.</t>
        </is>
      </c>
    </row>
  </sheetData>
  <mergeCells count="1">
    <mergeCell ref="A4:AA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s>
  <sheetData>
    <row r="1" ht="32" customHeight="1">
      <c r="A1" s="16" t="inlineStr">
        <is>
          <t>Time</t>
        </is>
      </c>
      <c r="B1" s="16" t="inlineStr">
        <is>
          <t>Área</t>
        </is>
      </c>
      <c r="C1" s="16" t="inlineStr">
        <is>
          <t>QA Principal</t>
        </is>
      </c>
      <c r="D1" s="16" t="inlineStr">
        <is>
          <t>QA Secundário</t>
        </is>
      </c>
      <c r="E1" s="16" t="inlineStr">
        <is>
          <t>Dev Principal</t>
        </is>
      </c>
      <c r="F1" s="16" t="inlineStr">
        <is>
          <t>Dev Secundário</t>
        </is>
      </c>
    </row>
    <row r="2">
      <c r="A2" s="28" t="inlineStr">
        <is>
          <t>Suprimentos</t>
        </is>
      </c>
      <c r="B2" s="28" t="inlineStr">
        <is>
          <t>Entrada XML</t>
        </is>
      </c>
      <c r="C2" s="28" t="inlineStr">
        <is>
          <t>Jenifer Lopes</t>
        </is>
      </c>
      <c r="D2" s="28" t="inlineStr">
        <is>
          <t>Guilherme Rocha</t>
        </is>
      </c>
      <c r="E2" s="28" t="inlineStr">
        <is>
          <t>Vinícius Souza Martins</t>
        </is>
      </c>
      <c r="F2" s="28" t="inlineStr">
        <is>
          <t>Willian Dias Brito</t>
        </is>
      </c>
    </row>
    <row r="3">
      <c r="A3" s="29" t="inlineStr">
        <is>
          <t>Suprimentos</t>
        </is>
      </c>
      <c r="B3" s="29" t="inlineStr">
        <is>
          <t>Balanço</t>
        </is>
      </c>
      <c r="C3" s="29" t="inlineStr">
        <is>
          <t>Ana Paula Coelho</t>
        </is>
      </c>
      <c r="D3" s="29" t="inlineStr">
        <is>
          <t>Guilherme Rocha</t>
        </is>
      </c>
      <c r="E3" s="29" t="inlineStr">
        <is>
          <t>Willian Dias Brito</t>
        </is>
      </c>
      <c r="F3" s="29" t="inlineStr">
        <is>
          <t>João Vitor Leone</t>
        </is>
      </c>
    </row>
    <row r="4">
      <c r="A4" s="28" t="inlineStr">
        <is>
          <t>Suprimentos</t>
        </is>
      </c>
      <c r="B4" s="28" t="inlineStr">
        <is>
          <t>Compras 2.0</t>
        </is>
      </c>
      <c r="C4" s="28" t="inlineStr">
        <is>
          <t>Guilherme Rocha</t>
        </is>
      </c>
      <c r="D4" s="28" t="inlineStr">
        <is>
          <t>Jenifer Lopes</t>
        </is>
      </c>
      <c r="E4" s="28" t="inlineStr">
        <is>
          <t>Rafael Flecha</t>
        </is>
      </c>
      <c r="F4" s="28" t="inlineStr">
        <is>
          <t>Mauricio Maia</t>
        </is>
      </c>
    </row>
    <row r="5">
      <c r="A5" s="29" t="inlineStr">
        <is>
          <t>FFC</t>
        </is>
      </c>
      <c r="B5" s="29" t="inlineStr">
        <is>
          <t>Conciliadores</t>
        </is>
      </c>
      <c r="C5" s="29" t="inlineStr">
        <is>
          <t>Michelle Pereira</t>
        </is>
      </c>
      <c r="D5" s="29" t="inlineStr"/>
      <c r="E5" s="29" t="n"/>
      <c r="F5" s="29" t="inlineStr"/>
    </row>
    <row r="6">
      <c r="A6" s="28" t="inlineStr">
        <is>
          <t>FFC</t>
        </is>
      </c>
      <c r="B6" s="28" t="inlineStr">
        <is>
          <t>Gestão Financeira</t>
        </is>
      </c>
      <c r="C6" s="28" t="inlineStr">
        <is>
          <t>Michelle Pereira</t>
        </is>
      </c>
      <c r="D6" s="28" t="inlineStr"/>
      <c r="E6" s="28" t="inlineStr">
        <is>
          <t>Fabio Elias</t>
        </is>
      </c>
      <c r="F6" s="28" t="inlineStr"/>
    </row>
    <row r="7">
      <c r="A7" s="29" t="inlineStr">
        <is>
          <t>FFC</t>
        </is>
      </c>
      <c r="B7" s="29" t="inlineStr">
        <is>
          <t>NF-e</t>
        </is>
      </c>
      <c r="C7" s="29" t="inlineStr">
        <is>
          <t>Flavia Doge</t>
        </is>
      </c>
      <c r="D7" s="29" t="inlineStr"/>
      <c r="E7" s="29" t="inlineStr">
        <is>
          <t>Jean Carlos</t>
        </is>
      </c>
      <c r="F7" s="29" t="inlineStr"/>
    </row>
    <row r="8">
      <c r="A8" s="28" t="inlineStr">
        <is>
          <t>FFC</t>
        </is>
      </c>
      <c r="B8" s="28" t="inlineStr">
        <is>
          <t>Rejeições</t>
        </is>
      </c>
      <c r="C8" s="28" t="inlineStr">
        <is>
          <t>Flavia Doge</t>
        </is>
      </c>
      <c r="D8" s="28" t="inlineStr"/>
      <c r="E8" s="28" t="inlineStr">
        <is>
          <t>Jean Carlos</t>
        </is>
      </c>
      <c r="F8" s="28" t="inlineStr"/>
    </row>
    <row r="9">
      <c r="A9" s="29" t="inlineStr">
        <is>
          <t>FFC</t>
        </is>
      </c>
      <c r="B9" s="29" t="inlineStr">
        <is>
          <t>Conferencia de Caixa</t>
        </is>
      </c>
      <c r="C9" s="29" t="inlineStr">
        <is>
          <t>Flavia Doge</t>
        </is>
      </c>
      <c r="D9" s="29" t="inlineStr"/>
      <c r="E9" s="29" t="inlineStr">
        <is>
          <t>Jean Carlos</t>
        </is>
      </c>
      <c r="F9" s="29" t="inlineStr"/>
    </row>
    <row r="10">
      <c r="A10" s="28" t="inlineStr">
        <is>
          <t>FatInt</t>
        </is>
      </c>
      <c r="B10" s="28" t="inlineStr">
        <is>
          <t>POS</t>
        </is>
      </c>
      <c r="C10" s="28" t="inlineStr">
        <is>
          <t>Vicente</t>
        </is>
      </c>
      <c r="D10" s="28" t="inlineStr">
        <is>
          <t>Daiane</t>
        </is>
      </c>
      <c r="E10" s="28" t="inlineStr">
        <is>
          <t>Luis</t>
        </is>
      </c>
      <c r="F10" s="28" t="inlineStr"/>
    </row>
    <row r="11">
      <c r="A11" s="29" t="inlineStr">
        <is>
          <t>FatInt</t>
        </is>
      </c>
      <c r="B11" s="29" t="inlineStr">
        <is>
          <t>Venda Fácil</t>
        </is>
      </c>
      <c r="C11" s="29" t="inlineStr">
        <is>
          <t>Daiane</t>
        </is>
      </c>
      <c r="D11" s="29" t="inlineStr">
        <is>
          <t>Vicente</t>
        </is>
      </c>
      <c r="E11" s="29" t="inlineStr">
        <is>
          <t>Gisele</t>
        </is>
      </c>
      <c r="F11" s="29" t="inlineStr"/>
    </row>
    <row r="12">
      <c r="A12" s="28" t="inlineStr">
        <is>
          <t>FatInt</t>
        </is>
      </c>
      <c r="B12" s="28" t="inlineStr">
        <is>
          <t>Trocas</t>
        </is>
      </c>
      <c r="C12" s="28" t="inlineStr">
        <is>
          <t>Maica</t>
        </is>
      </c>
      <c r="D12" s="28" t="inlineStr">
        <is>
          <t>Daiane</t>
        </is>
      </c>
      <c r="E12" s="28" t="inlineStr">
        <is>
          <t>Luis</t>
        </is>
      </c>
      <c r="F12" s="28" t="inlineStr">
        <is>
          <t>Raul</t>
        </is>
      </c>
    </row>
    <row r="13">
      <c r="A13" s="29" t="inlineStr">
        <is>
          <t>FatInt</t>
        </is>
      </c>
      <c r="B13" s="29" t="inlineStr">
        <is>
          <t>Ótico</t>
        </is>
      </c>
      <c r="C13" s="29" t="inlineStr">
        <is>
          <t>Daiane</t>
        </is>
      </c>
      <c r="D13" s="29" t="inlineStr">
        <is>
          <t>Maica</t>
        </is>
      </c>
      <c r="E13" s="29" t="inlineStr">
        <is>
          <t>Gisele</t>
        </is>
      </c>
      <c r="F13" s="29" t="inlineStr">
        <is>
          <t>Letícia</t>
        </is>
      </c>
    </row>
    <row r="14">
      <c r="A14" s="28" t="inlineStr">
        <is>
          <t>FatInt</t>
        </is>
      </c>
      <c r="B14" s="28" t="inlineStr">
        <is>
          <t>B2C</t>
        </is>
      </c>
      <c r="C14" s="28" t="inlineStr">
        <is>
          <t>Vicente</t>
        </is>
      </c>
      <c r="D14" s="28" t="inlineStr"/>
      <c r="E14" s="28" t="inlineStr">
        <is>
          <t>Amanda</t>
        </is>
      </c>
      <c r="F14" s="28" t="inlineStr">
        <is>
          <t>Luis</t>
        </is>
      </c>
    </row>
    <row r="15">
      <c r="A15" s="29" t="inlineStr">
        <is>
          <t>FatInt</t>
        </is>
      </c>
      <c r="B15" s="29" t="inlineStr">
        <is>
          <t>Importadores</t>
        </is>
      </c>
      <c r="C15" s="29" t="inlineStr">
        <is>
          <t>Vicente</t>
        </is>
      </c>
      <c r="D15" s="29" t="inlineStr">
        <is>
          <t>Daiane</t>
        </is>
      </c>
      <c r="E15" s="29" t="inlineStr">
        <is>
          <t>Marcus</t>
        </is>
      </c>
      <c r="F15" s="29" t="inlineStr"/>
    </row>
    <row r="16">
      <c r="A16" s="28" t="inlineStr">
        <is>
          <t>FatInt</t>
        </is>
      </c>
      <c r="B16" s="28" t="inlineStr">
        <is>
          <t>Gerador de Relatórios</t>
        </is>
      </c>
      <c r="C16" s="28" t="inlineStr">
        <is>
          <t>Vicente</t>
        </is>
      </c>
      <c r="D16" s="28" t="inlineStr">
        <is>
          <t>Maica</t>
        </is>
      </c>
      <c r="E16" s="28" t="inlineStr">
        <is>
          <t>Letícia</t>
        </is>
      </c>
      <c r="F16" s="28" t="inlineStr"/>
    </row>
    <row r="17">
      <c r="A17" s="29" t="inlineStr">
        <is>
          <t>FatInt</t>
        </is>
      </c>
      <c r="B17" s="29" t="inlineStr">
        <is>
          <t>Serviços e Painel NFse</t>
        </is>
      </c>
      <c r="C17" s="29" t="inlineStr">
        <is>
          <t>Maica</t>
        </is>
      </c>
      <c r="D17" s="29" t="inlineStr"/>
      <c r="E17" s="29" t="inlineStr">
        <is>
          <t>Guilherme</t>
        </is>
      </c>
      <c r="F17" s="29" t="inlineStr">
        <is>
          <t>Marcus</t>
        </is>
      </c>
    </row>
    <row r="18">
      <c r="A18" s="28" t="inlineStr">
        <is>
          <t>FatInt</t>
        </is>
      </c>
      <c r="B18" s="28" t="inlineStr">
        <is>
          <t>SmartPOS</t>
        </is>
      </c>
      <c r="C18" s="28" t="inlineStr">
        <is>
          <t>Daiane</t>
        </is>
      </c>
      <c r="D18" s="28" t="inlineStr">
        <is>
          <t>Maica</t>
        </is>
      </c>
      <c r="E18" s="28" t="inlineStr">
        <is>
          <t>Guilherme</t>
        </is>
      </c>
      <c r="F18" s="28" t="inlineStr"/>
    </row>
    <row r="19">
      <c r="A19" s="29" t="inlineStr">
        <is>
          <t>FatInt</t>
        </is>
      </c>
      <c r="B19" s="29" t="inlineStr">
        <is>
          <t>Catalogo Digital</t>
        </is>
      </c>
      <c r="C19" s="29" t="inlineStr">
        <is>
          <t>Vicente</t>
        </is>
      </c>
      <c r="D19" s="29" t="inlineStr">
        <is>
          <t>Daiane</t>
        </is>
      </c>
      <c r="E19" s="29" t="inlineStr">
        <is>
          <t>Raul</t>
        </is>
      </c>
      <c r="F19" s="29" t="inlineStr"/>
    </row>
    <row r="20">
      <c r="A20" s="28" t="inlineStr">
        <is>
          <t>FatInt</t>
        </is>
      </c>
      <c r="B20" s="28" t="inlineStr">
        <is>
          <t>Venda de Seguros</t>
        </is>
      </c>
      <c r="C20" s="28" t="inlineStr">
        <is>
          <t>Maica</t>
        </is>
      </c>
      <c r="D20" s="28" t="inlineStr"/>
      <c r="E20" s="28" t="inlineStr">
        <is>
          <t>Marcus</t>
        </is>
      </c>
      <c r="F20" s="28" t="inlineStr"/>
    </row>
    <row r="21">
      <c r="A21" s="29" t="inlineStr">
        <is>
          <t>FatInt</t>
        </is>
      </c>
      <c r="B21" s="29" t="inlineStr">
        <is>
          <t>Reshop</t>
        </is>
      </c>
      <c r="C21" s="29" t="inlineStr">
        <is>
          <t>Daiane</t>
        </is>
      </c>
      <c r="D21" s="29" t="inlineStr">
        <is>
          <t>Vicente</t>
        </is>
      </c>
      <c r="E21" s="29" t="inlineStr">
        <is>
          <t>Letícia</t>
        </is>
      </c>
      <c r="F21" s="29" t="inlineStr"/>
    </row>
    <row r="22">
      <c r="A22" s="28" t="inlineStr">
        <is>
          <t>FatInt</t>
        </is>
      </c>
      <c r="B22" s="28" t="inlineStr">
        <is>
          <t>Remessas e Retornos</t>
        </is>
      </c>
      <c r="C22" s="28" t="inlineStr">
        <is>
          <t>Daiane</t>
        </is>
      </c>
      <c r="D22" s="28" t="inlineStr"/>
      <c r="E22" s="28" t="inlineStr">
        <is>
          <t>Otávio</t>
        </is>
      </c>
      <c r="F22" s="28" t="inlineStr"/>
    </row>
    <row r="23">
      <c r="A23" s="29" t="inlineStr">
        <is>
          <t>FatInt</t>
        </is>
      </c>
      <c r="B23" s="29" t="inlineStr">
        <is>
          <t>TEF</t>
        </is>
      </c>
      <c r="C23" s="29" t="inlineStr">
        <is>
          <t>Maica</t>
        </is>
      </c>
      <c r="D23" s="29" t="inlineStr">
        <is>
          <t>Vicente</t>
        </is>
      </c>
      <c r="E23" s="29" t="inlineStr">
        <is>
          <t>Otávio</t>
        </is>
      </c>
      <c r="F23" s="29" t="inlineStr"/>
    </row>
    <row r="25">
      <c r="A25" s="27" t="inlineStr">
        <is>
          <t>ℹ️ Edite o arquivo rca_config.yaml para alterar responsáveis. Re-execute generate_excel.py para atualizar.</t>
        </is>
      </c>
    </row>
  </sheetData>
  <mergeCells count="1">
    <mergeCell ref="A25:F25"/>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RCA Pocket</dc:title>
  <dc:description>Gerado em 30/03/2026 16:57</dc:description>
  <dcterms:created xsi:type="dcterms:W3CDTF">2026-03-30T19:57:37Z</dcterms:created>
  <dcterms:modified xsi:type="dcterms:W3CDTF">2026-03-30T19:57:37Z</dcterms:modified>
</cp:coreProperties>
</file>