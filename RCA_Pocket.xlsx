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xr:revisionPtr revIDLastSave="3" documentId="11_39EFB59CA64D6121FCC9EA89F954388DB710F1EB" xr6:coauthVersionLast="47" xr6:coauthVersionMax="47" xr10:uidLastSave="{C3D93789-3DC1-42C3-920C-3F908042D1CB}"/>
  <bookViews>
    <workbookView xWindow="0" yWindow="0" windowWidth="16384" windowHeight="8192" tabRatio="500" xr2:uid="{00000000-000D-0000-FFFF-FFFF00000000}"/>
  </bookViews>
  <sheets>
    <sheet name="📊 Dados" sheetId="1" r:id="rId1"/>
    <sheet name="🗂️ Acompanhamento Issue" sheetId="2" r:id="rId2"/>
    <sheet name="📦 Arquivo" sheetId="3" r:id="rId3"/>
    <sheet name="👥 Responsáveis" sheetId="4" r:id="rId4"/>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7" i="1" l="1"/>
  <c r="G36" i="1"/>
  <c r="G35" i="1"/>
  <c r="G34" i="1"/>
  <c r="G33" i="1"/>
  <c r="G32" i="1"/>
  <c r="G29" i="1"/>
  <c r="G25" i="1"/>
  <c r="G11" i="1"/>
  <c r="G10" i="1"/>
  <c r="G9" i="1"/>
  <c r="G8" i="1"/>
  <c r="G7" i="1"/>
  <c r="G6" i="1"/>
  <c r="G5" i="1"/>
  <c r="G4" i="1"/>
  <c r="G3" i="1"/>
  <c r="G2" i="1"/>
</calcChain>
</file>

<file path=xl/sharedStrings.xml><?xml version="1.0" encoding="utf-8"?>
<sst xmlns="http://schemas.openxmlformats.org/spreadsheetml/2006/main" count="848" uniqueCount="337">
  <si>
    <t>Key</t>
  </si>
  <si>
    <t>Resumo</t>
  </si>
  <si>
    <t>Status Jira</t>
  </si>
  <si>
    <t>Prioridade</t>
  </si>
  <si>
    <t>Data Criação</t>
  </si>
  <si>
    <t>Data Resolução</t>
  </si>
  <si>
    <t>Dias p/ Resolver</t>
  </si>
  <si>
    <t>DeV Responsável pelo Bug</t>
  </si>
  <si>
    <t>QA Responsável pelo Bug</t>
  </si>
  <si>
    <t>Qtd Vínculos</t>
  </si>
  <si>
    <t>Causa Raiz</t>
  </si>
  <si>
    <t>Time</t>
  </si>
  <si>
    <t>Área</t>
  </si>
  <si>
    <t>Tipo Erro (Auto)</t>
  </si>
  <si>
    <t>Ação Realizada no Bug</t>
  </si>
  <si>
    <t>Análise da Causa</t>
  </si>
  <si>
    <t>Tipo de Ajuste</t>
  </si>
  <si>
    <t>Possui TA</t>
  </si>
  <si>
    <t>Arquivo TA</t>
  </si>
  <si>
    <t>Resultado da Automação</t>
  </si>
  <si>
    <t>Contexto</t>
  </si>
  <si>
    <t>Problema Resolvido?</t>
  </si>
  <si>
    <t>QA Principal</t>
  </si>
  <si>
    <t>Dev Principal</t>
  </si>
  <si>
    <t>Issue de Acompanhamento</t>
  </si>
  <si>
    <t>Plano Ação/Lição Aprendida</t>
  </si>
  <si>
    <t>Analisado</t>
  </si>
  <si>
    <t>Data Filtragem</t>
  </si>
  <si>
    <t>MODAJOI-100985</t>
  </si>
  <si>
    <t>SmartPOS - Ocorreu um problema ao imprimir.</t>
  </si>
  <si>
    <t>Concluída</t>
  </si>
  <si>
    <t>P1 - Alto</t>
  </si>
  <si>
    <t>Fernando Sutter</t>
  </si>
  <si>
    <t>Geovane Schmitt</t>
  </si>
  <si>
    <t>FatInt</t>
  </si>
  <si>
    <t>Venda Fácil</t>
  </si>
  <si>
    <t>Sistema</t>
  </si>
  <si>
    <t>[Alteração no código] Migrar a biblioteca e os testes unitários para suportar a nova versão do .NET da API do Fiscal.</t>
  </si>
  <si>
    <t>Sim</t>
  </si>
  <si>
    <t>CD030-PV Produto com Imagem e Pedido Separacao
CD05-Acessar Venda Facil SmartPOS - MODAJOI-59726
CD45-Venda Facil SmartPOS com Cartao Nao TEF- MODAJOI-89119
(+2 mais)</t>
  </si>
  <si>
    <t>Daiane</t>
  </si>
  <si>
    <t>Gisele</t>
  </si>
  <si>
    <t>MODAJOI-101207</t>
  </si>
  <si>
    <t>Cliente relata que não é gerada uma nova fatura quando faz a baixa de faturas pelas rotinas Recebimento de Parcelas e Recebimento de Faturas informando um plano de pagamento que não seja à vista.</t>
  </si>
  <si>
    <t>P2 - Médio</t>
  </si>
  <si>
    <t>Mariana Franco Fernandes</t>
  </si>
  <si>
    <t>Caroline Becker Gonçalves Corrêa</t>
  </si>
  <si>
    <t>FFC</t>
  </si>
  <si>
    <t>Gestão Financeira</t>
  </si>
  <si>
    <t>Banco de Dados</t>
  </si>
  <si>
    <t>[Alteração no código] Foi realizado o rollback das alterações feitas na MODAJOI-99668 conforme solicitado pelo time de suporte.</t>
  </si>
  <si>
    <t>CD10 - Validar que não é gerada nova fatura para valor já pago após recebimento parcial de parcela
CD02-Negociar Multiplas Faturas
CD09-Receber Total Fatura de Outra Empresa
(+2 mais)</t>
  </si>
  <si>
    <t>Michelle Pereira</t>
  </si>
  <si>
    <t>Fabio Elias</t>
  </si>
  <si>
    <t>MODAJOI-100887</t>
  </si>
  <si>
    <t>Venda Fácil - Venda de Serviços de Terceiros com pagamento unificado não gera fatura.</t>
  </si>
  <si>
    <t>Marcos Eduardo Melo Mendonca</t>
  </si>
  <si>
    <t>Altimara Wrobel Carneiro Schmitz</t>
  </si>
  <si>
    <t>[Alteração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</si>
  <si>
    <t>CD11-Buscar Fatura e Validar Plano de Pagamento
CD08-Venda de dois Servicos com Desconto No Item
CD10-Venda de dois Servicos com Desconto Na Venda
(+2 mais)</t>
  </si>
  <si>
    <t>MODAJOI-101185</t>
  </si>
  <si>
    <t>Venda Facil - Erro ao pesquisar item "Oops, Ocorreu um erro!"</t>
  </si>
  <si>
    <t>P0 - Altissimo</t>
  </si>
  <si>
    <t>Deivis de Los</t>
  </si>
  <si>
    <t>O erro ocorreu devido a uma oscilação na camada de banco de dados. Realizamos o monitoramento de ontem até hoje, e o erro não voltou a ocorrer. Seguiremos acompanhando o portal para garantir que não haja novos incidentes. Em caso de dúvidas, estou à disposição.</t>
  </si>
  <si>
    <t>CD028-PV_Consumidor Final Sem Pagamento com Desconto, Cadastrando Cliente e Adicionando segundo produto por pesquisa
CD16-Venda de Produto com Acrescimo e PIX
CD01-Troca de Produtos Oticos em Duas Etapas
(+2 mais)</t>
  </si>
  <si>
    <t>MODAJOI-101011</t>
  </si>
  <si>
    <t>Timeout ao gerar SPED EFD Fiscal. ---------------------------</t>
  </si>
  <si>
    <t>Jhony Kennyth Viebrantz</t>
  </si>
  <si>
    <t>SPED</t>
  </si>
  <si>
    <t>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</si>
  <si>
    <t>CD01-Validar Abertura e Geracao do SPED EFD Mes Anterior
CD02-Validar Abertura e Geracao do SPED EFD Mes Atual
CD09 - Gerar nota de devolução a partir do produto com ICMS excluído da base do PIS e COFINS
(+2 mais)</t>
  </si>
  <si>
    <t>Flavia Doge</t>
  </si>
  <si>
    <t>Jean Carlos</t>
  </si>
  <si>
    <t>MODAJOI-101378</t>
  </si>
  <si>
    <t>Cliente entrou em contato informando que ao dar entrada em uma nota retorna que não foi encontrado configuração tributária para aquela operação.</t>
  </si>
  <si>
    <t>Anderson Petry</t>
  </si>
  <si>
    <t>Suprimentos</t>
  </si>
  <si>
    <t>Entrada XML</t>
  </si>
  <si>
    <t>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</si>
  <si>
    <t>Não se trata de erro e sim ausência de configuração tributaria</t>
  </si>
  <si>
    <t>CD15-Validar Campos Obrigatorios Ao Cadastrar Produtos - Nova Rotina
CD06 - Gerar nota de devolução de compra com produto sem config tributaria
CD25-Venda com Produto sem Config
(+2 mais)</t>
  </si>
  <si>
    <t>MODAJOI-100894</t>
  </si>
  <si>
    <t>ERP - Assinar documento digitalmente ==================================</t>
  </si>
  <si>
    <t>Marcos Felipe Dantas Da Costa</t>
  </si>
  <si>
    <t>Serviços</t>
  </si>
  <si>
    <t>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</si>
  <si>
    <t>CD02-Negociar Fatura Crediário - gerando mais de uma parcela
Cenário 03: Validar cadastro vale troca sem documento
CD03-Negociar Fatura Crediário - gerando mais de uma parcela
(+2 mais)</t>
  </si>
  <si>
    <t>MODAJOI-101199</t>
  </si>
  <si>
    <t>Cliente está realizando envios de XML para entrar com notas fiscais de compra no Microvix, porém está retornando error: HTTP/1.1 500 Internal Server Error.</t>
  </si>
  <si>
    <t>Fabio Elias Alves Vaz</t>
  </si>
  <si>
    <t>Michelle Pereira Pontes Dalfovo</t>
  </si>
  <si>
    <t>Compras 2.0</t>
  </si>
  <si>
    <t>[Alteração no código] Realizados ajustes para que a IntegrationApi defina as configurações necessárias corretamente, mantendo compatibilidade entre os 3 projetos na classe ApiConfig.</t>
  </si>
  <si>
    <t>CD01-Entrada de Recusa de Devolução de Compra
CD05-Devolucao de Compras com nota com PIS e COFINS
CD06-Devolucao de Compras com nota com IPI
(+2 mais)</t>
  </si>
  <si>
    <t>Guilherme Rocha</t>
  </si>
  <si>
    <t>Rafael Flecha</t>
  </si>
  <si>
    <t>MODAJOI-100808</t>
  </si>
  <si>
    <t>[ASICS} - Processo de certificado digital é realizado porém não finalizado.</t>
  </si>
  <si>
    <t>Não Mapeado</t>
  </si>
  <si>
    <t>Configuração</t>
  </si>
  <si>
    <t>Detalhes: Certificado adicionado com sucesso</t>
  </si>
  <si>
    <t>CD023-Abertura do link certificado digital - Arquivo inválido
CD024-Abertura do link certificado digital - Arquivo .pfx e preenchendo campos de senha e email
CD07-Ativar Importacao Automatica
(+2 mais)</t>
  </si>
  <si>
    <t>MODAJOI-101292</t>
  </si>
  <si>
    <t>Erro no  relatório personalizado - ERP</t>
  </si>
  <si>
    <t>NF-e</t>
  </si>
  <si>
    <t>Detalhes: Este problema será corrigido na conclusão da demanda MODAJOI-99667</t>
  </si>
  <si>
    <t>CD01-Validar Relatorio Gerado Com Sucesso
CD03-Validar Funcionalidade de Efetuar Conferencia - Quebra de Caixa
CD05-Relatorio Manutencao - Alterar Checkboxs Disponivel Loja Virtual
(+2 mais)</t>
  </si>
  <si>
    <t>MODAJOI-100934</t>
  </si>
  <si>
    <t>Cliente relata que ao tentar emitir nota substitutiva é apresentada mensagem que não é permitido alterar o destinatário para CNPJ em NF-e substitutiva.</t>
  </si>
  <si>
    <t>P3 - Baixo</t>
  </si>
  <si>
    <t>Correção Código</t>
  </si>
  <si>
    <t>[Alteração no código] removido bloqueio.</t>
  </si>
  <si>
    <t>Ajuste apenas em RC. Alteração d Regra fiscal impactou (somente RC). A postergação do prazo para permissão de alteração do Cliente em NFCe acabou impactando e causando o erro na nota substitutiva.</t>
  </si>
  <si>
    <t>Código</t>
  </si>
  <si>
    <t>Não</t>
  </si>
  <si>
    <t>A Alteração de bloquear a nota de substituição foi feita sem consultar o time de Fiscal.
TA – Existe apenas para PF.</t>
  </si>
  <si>
    <t>Questões de Legislação, o melhor é consultar o time Fiscal para validar a regra de negócio.</t>
  </si>
  <si>
    <t>MODAJOI-100979</t>
  </si>
  <si>
    <t>Entrada XML/Entrada CTe: Apresenta erro/não carrega ao usar usuario franqueador ==================================</t>
  </si>
  <si>
    <t>Marcilio De Aguiar Meireles</t>
  </si>
  <si>
    <t>Migração AKS</t>
  </si>
  <si>
    <t>[Alteração no código] Alterado para que seja possível passar por parâmetro, de forma opcional, o id do portal. Se não passar, usa a sessão, mantendo compatibilidade.</t>
  </si>
  <si>
    <t>Erro específico, da migração AKS Fiscal, para usuário Supervisor/Administrador. No portal testado não possuía usuário Supervisor e por esse motivo o bug ocorreu.</t>
  </si>
  <si>
    <t>Para usuário ADM/Supervisor não temos cenários de TA</t>
  </si>
  <si>
    <t>Jenifer Lopes</t>
  </si>
  <si>
    <t>Vinícius Souza Martins</t>
  </si>
  <si>
    <t>Testar também com usuário Supervisor/ADM de rede</t>
  </si>
  <si>
    <t>MODAJOI-101067</t>
  </si>
  <si>
    <t>mensagem 'Ocorreu um erro inesperado, por favor contate o suporte técnico' ao tentar gerar um relatório, no exportação de dados</t>
  </si>
  <si>
    <t>Nelson Campagnaro Junior</t>
  </si>
  <si>
    <t>Concluído.</t>
  </si>
  <si>
    <t>A correção do bug MODAJOI-101005 acabou impactando nesse caso, onde a exportação era feita utilizando a referência.</t>
  </si>
  <si>
    <t>Como foi aberto como emergencial, esse caso não passou por QA e o teste só seria pego se fosse realizado em homologação.</t>
  </si>
  <si>
    <t>Buscar os testes antes de liberar a demanda e repassar por um QA para validar correção.</t>
  </si>
  <si>
    <t>MODAJOI-100733</t>
  </si>
  <si>
    <t>Sugestão de compras - Não abre a tela para gerar o pedido =================================</t>
  </si>
  <si>
    <t>Júlia Inácio Capanema</t>
  </si>
  <si>
    <t>Merge</t>
  </si>
  <si>
    <t>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</si>
  <si>
    <t>Foi causado por um ajuste onde o merge acabou transportando o código de forma incorreta, por nbão gerar nenhum conflito.</t>
  </si>
  <si>
    <t>CD07-Sugestao de Compras Novo - Emitir Pedido Uma empresa
CD08-Sugestao de Compras Novo - Emitir Pedido Varias empresas - Um Pedido para Cada Empresa
CD09-Sugestao de Compras Novo - Emitir Pedido Varias empresas - Um Pedido para Todas as Empresas
(+2 mais)</t>
  </si>
  <si>
    <t>Não detectou</t>
  </si>
  <si>
    <t>Para o TA validar a situação, ele teria que selecionar todas as colunas para que o erro ficasse visível. Seria necessário adicionar a validação dos registros listados no TA existente.</t>
  </si>
  <si>
    <t>Ter o cenário de Sugestão de Compra – ao menos um cenário prioritário – na esteira rápida para garantir que problemas assim não volte a ocorrer.</t>
  </si>
  <si>
    <t>MODAJOI-100388</t>
  </si>
  <si>
    <t>Cliente relata que ao tentar emitir vendas com CST 51, no Venda Fácil, é retornada a Rejeição 929: Informado CST de diferimento sem as informações de diferimento.</t>
  </si>
  <si>
    <t>Kassia Mabily Fraga Souza</t>
  </si>
  <si>
    <t>Déborah Brenda Dos Santos</t>
  </si>
  <si>
    <t>Terceiros</t>
  </si>
  <si>
    <t>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</si>
  <si>
    <t>Aparentemente não hve causa aparente. A validação do SEFAZ mudou, sem aviso, e parou de validar a tag de redução de base de cálculo para CST de diferimento</t>
  </si>
  <si>
    <t>CD005-Pre Venda Rejeicao por CST Incorreta
CD025-Editar Salvar e Finalizar Pre-Venda com Pagamento Nao Informado e Incluindo Novos Produtos
CD026-Editar Salvar e Finalizar Pre-Venda com Pagamento Total Informado e Incluindo Novos Produtos
(+2 mais)</t>
  </si>
  <si>
    <t>Aparentemente somente alguns Estados começaram a validar essa tag no arquivo XML.</t>
  </si>
  <si>
    <t>Para esse caso em específico, por se tratar de erro do SEFAZ, para Estados Específicos, o plano de ação fica reduzido para alterações em Regras  Fiscais – mapear todos os Estados e cenários o máximo possível.</t>
  </si>
  <si>
    <t>MODAJOI-101005</t>
  </si>
  <si>
    <t>Exportação de dados: Erro ao exportar A exportação não gerou nenhum resultado. Tente alterar os filtros ==================================</t>
  </si>
  <si>
    <t>Pedro Henrique De Matos Veronese</t>
  </si>
  <si>
    <t>Gerador de Relatórios</t>
  </si>
  <si>
    <t>Ajustado código para remover o primeiro bloco que adiciona as aspas, deixando o valor final como "".</t>
  </si>
  <si>
    <t>Esquecimento no momento de subir o commit – retirada de “</t>
  </si>
  <si>
    <t>Vicente</t>
  </si>
  <si>
    <t>Letícia</t>
  </si>
  <si>
    <t>Revisar liberação de alteração</t>
  </si>
  <si>
    <t>MODAJOI-100867</t>
  </si>
  <si>
    <t>ERP - Erro ao gerar painel de movimentações WMS ==================================</t>
  </si>
  <si>
    <t>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</si>
  <si>
    <t>Aparentemente instabilidade do cliente. Não houve nenhum tipo de ajuste.</t>
  </si>
  <si>
    <t>Validar os logs – seja no Elastic APPInsights para tentar rastrear a causa efetiva para esse tipo de situação. Dessa forma melhorara a análise.</t>
  </si>
  <si>
    <t>MODAJOI-100396</t>
  </si>
  <si>
    <t>Orçamento/Pedido: Falha ao recuperar os dados para geração do link de pagamento ==================================</t>
  </si>
  <si>
    <t>Como correção foi realizado um ajuste efetivo até que tenhamos um retorno da Pagar.me sobre. Demanda correção retroativa: MODAJOI-100187 Cliente passou a utilizar versão checkout v1 ao invés de V2.</t>
  </si>
  <si>
    <t>Erro na PAGAR-ME.</t>
  </si>
  <si>
    <t>CD010-Pre Venda com Link Pagamento
CD014-Agrupamento de Pré-Venda com Link de Pagamento
CD018-Pre Venda NFC-e com Link Pagamento
(+2 mais)</t>
  </si>
  <si>
    <t>Detectou problema</t>
  </si>
  <si>
    <t>Foi validado pelo QA porém para o caso em específico seria necessário voltar a versão do link de pagamento.</t>
  </si>
  <si>
    <t>Pendente 5</t>
  </si>
  <si>
    <t>MODAJOI-100761</t>
  </si>
  <si>
    <t>Venda Fácil - Envio de comprovante de troca com documento 0.</t>
  </si>
  <si>
    <t>[Alteração no código] Adiciona método para obter payload correto de envio e atualiza chamada de ação para enviar informações de troca por email</t>
  </si>
  <si>
    <t>Foi fechada incorretamente como P1.</t>
  </si>
  <si>
    <t>CD05 - Alterar Vendedor no Movimento Diário
CD02-Gerar Ticket Manual com Base Central
CD04-Conferir Vendedor, Pagamentos, Produtos, Cliente e Descontos no Movimentos Diario
(+2 mais)</t>
  </si>
  <si>
    <t>MODAJOI-100652</t>
  </si>
  <si>
    <t>Venda fácil: Não permite editar pré-venda ==================================</t>
  </si>
  <si>
    <t>[Alteração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</si>
  <si>
    <t>MODAJOI-99809 - Foi uma condição implementada para tentar blindar um outro problema - Feito Rollback</t>
  </si>
  <si>
    <t>Não se Aplica</t>
  </si>
  <si>
    <t>Solicitado a criação para um no TA que faça a varredura de casos como esse.</t>
  </si>
  <si>
    <t>Pendente</t>
  </si>
  <si>
    <t>Iniciativa do dev para rollback e abertura de TA</t>
  </si>
  <si>
    <t>MODAJOI-100187</t>
  </si>
  <si>
    <t>Oops, Ocorreu um erro! ao gerar Pré-venda com link de pagamento. ==================================</t>
  </si>
  <si>
    <t>[Alteração no código] Atualização URL</t>
  </si>
  <si>
    <t>Link do Pagar-me que não está funcionando, para a Versão V2.</t>
  </si>
  <si>
    <t>CD007-Pre Venda com Link Pagamento via Whatsapp - esse cenário estava com erro</t>
  </si>
  <si>
    <t>Nesse caso o problema foi causado por terceiros e a solução foi alterar o link de pagamento.</t>
  </si>
  <si>
    <t>MODAJOI-99532</t>
  </si>
  <si>
    <t>POS - Comprovante do Remessas e Retornos não Funciona</t>
  </si>
  <si>
    <t xml:space="preserve">Joao Vinicius Souza Goncalves </t>
  </si>
  <si>
    <t>Remessas e Retornos</t>
  </si>
  <si>
    <t>[Alteração no código] Ajuste para que o POS permite corretamente imprimir o comprovante de remessas e retornos.</t>
  </si>
  <si>
    <t>MODAJOI-99032 - Acabou impactando somente a rotina online.</t>
  </si>
  <si>
    <t>TestComplete</t>
  </si>
  <si>
    <t>Somente são realizados na publicação de nova versão do POS</t>
  </si>
  <si>
    <t>Otávio</t>
  </si>
  <si>
    <t>Quando alterar qualquer rotina, elencar as principais rotinas online para não cair em erros</t>
  </si>
  <si>
    <t>MODAJOI-100251</t>
  </si>
  <si>
    <t>Venda Fácil - Não finaliza venda com campanha do CRM&amp;Bônus.</t>
  </si>
  <si>
    <t>[Alteração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</si>
  <si>
    <t>Teria que deixar um ambiente configurado para utilizar o CRM Bonus e que o ambiente esteja 100% disponível</t>
  </si>
  <si>
    <t>Time do Ademir avaliar a possibilidade de criação de TA para essa rotina e estruturar o ambiente / Mapear quantos clientes utilizam a V1 do CRM Bonus e quantos utilizam a V2</t>
  </si>
  <si>
    <t>MODAJOI-100393</t>
  </si>
  <si>
    <t>Troca fácil: Não é possivel realizar devolução para o item ==================================</t>
  </si>
  <si>
    <t>Leticia Saraiva Chaves</t>
  </si>
  <si>
    <t>[Alteração no código] Ajuste na query ao verificar a existência de devolução sem registro na tabela trocaunificada.</t>
  </si>
  <si>
    <t>CD06-Realizar uma Venda Vitrine e Alterar o Pedido
CD17-Devolução por nota com múltiplas linhas do mesmo produto
CD01-Realizar Troca e Zerar Vale Gerado
(+2 mais)</t>
  </si>
  <si>
    <t>MODAJOI-100578</t>
  </si>
  <si>
    <t>Valor mínimo para resgate incorreto no venda fácil, comparando a configuração do fidelidade no Reshop.</t>
  </si>
  <si>
    <t>[Alteração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</si>
  <si>
    <t>Não teve uma causa descoberta.</t>
  </si>
  <si>
    <t>Como se trata de problema visual, talvez não se aplique ao TA</t>
  </si>
  <si>
    <t>https://jira.linx.com.br/browse/MODAJOI-101142</t>
  </si>
  <si>
    <t>Fazer uma análise da possibilidade de criar um TA relativo a esse tipo de problema</t>
  </si>
  <si>
    <t>MODAJOI-100461</t>
  </si>
  <si>
    <t>Ao abrir POS e na tela inicial, após curto tempo consta mensagem de erro:</t>
  </si>
  <si>
    <t>POS</t>
  </si>
  <si>
    <t>Realizado ajuste nos produtos, pois haviam mais de 1600 produtos definidos como catálogo. Deste modo, ocasionava travamentos dado o alto volume. Após o ajuste, o erro cessou. Trataremos o problema em sua causa raiz através de uma melhoria que será aberta.</t>
  </si>
  <si>
    <t>O cliente utilizou um número maior do que o limite permitido de sincronização de produtos</t>
  </si>
  <si>
    <t>Pendente 4</t>
  </si>
  <si>
    <t>Fazer um levantamento para validar se a blindagem para limitação de importação se perdeu</t>
  </si>
  <si>
    <t>MODAJOI-100418</t>
  </si>
  <si>
    <t>Venda Fácil - Rejeição 865: Total dos pagamentos menor que o total da nota, em vendas com cupom.</t>
  </si>
  <si>
    <t>[Alteração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</si>
  <si>
    <t>Problemas com arredondamento - no momento do arredondamento o sistema se perdia.</t>
  </si>
  <si>
    <t>O item do cliente é específico - ótico + cupom de desconto + pagamento parcial</t>
  </si>
  <si>
    <t>https://jira.linx.com.br/browse/MODAJOI-101007</t>
  </si>
  <si>
    <t>Fazer uma análise nas ultimas rejeições/bug e criar algo para blindar esse tipo de situação de arredondamento.</t>
  </si>
  <si>
    <t>MODAJOI-100776</t>
  </si>
  <si>
    <t>Conciliador bancário: Erro ao desconciliar faturas e lançamentos contábeis: Execution Timeout Expired. ==================================</t>
  </si>
  <si>
    <t>The Tempo Account was changed to Nao Capitalizavel (Opex) by the Scriptrunner validation script</t>
  </si>
  <si>
    <t>CD18-Conciliar Fatura a Receber Por Sugestão
CD20-Conciliar Mais de uma Fatura a Receber Selecionando Mesmo Valor do Extrato
CD09-Conciliar Extrato a Receber Utilizando Regra para Conciliação Automática
(+2 mais)</t>
  </si>
  <si>
    <t>MODAJOI-100270</t>
  </si>
  <si>
    <t>Venda Fácil - Erro Undefined ao Pesquisar o Serviços pelo Nome</t>
  </si>
  <si>
    <t>[Alteração no código] Tratamento para buscar o alias correto da tabela de produtos/serviços</t>
  </si>
  <si>
    <t>MODAJOI-99339</t>
  </si>
  <si>
    <t>CD01-Pesquisar Produto e Compartilhar Resultado</t>
  </si>
  <si>
    <t>O TA cobre somente pesquisa de produtos e nesse caso a pesquisa era de serviço</t>
  </si>
  <si>
    <t>https://jira.linx.com.br/browse/MODAJOI-101105 e https://jira.linx.com.br/browse/MODAJOI-101106</t>
  </si>
  <si>
    <t>Criar TA para erviço</t>
  </si>
  <si>
    <t>MODAJOI-99893</t>
  </si>
  <si>
    <t>Venda Fácil - TEF - Não foi possível se comunicar com o Scarf.</t>
  </si>
  <si>
    <t>TEF</t>
  </si>
  <si>
    <t>Orientações passadas pelo Teams acerca do "AccessViolationException"</t>
  </si>
  <si>
    <t>Não conseguimos simular a causa do problema - Na própria loja não ocorreu mais o problema</t>
  </si>
  <si>
    <t>O TEF acaba sendo um processo com um grau de dificuldade  maior para a criação do TA</t>
  </si>
  <si>
    <t>MODAJOI-100066</t>
  </si>
  <si>
    <t>Relatório de detalhamento de custos duplica valor de FCP -ERP</t>
  </si>
  <si>
    <t>[Alteração no código] Feito o ajuste conforme Épico MODAJOI-31323 onde é tratado para calcular o FcpStAntecipado quando houver FCPST.</t>
  </si>
  <si>
    <t>CD01-Emissao Do Relatorio Detalhamento de Custos
CD02-Emissao Do Relatorio Detalhamento de Custos - Verificar Coluna Nota Origem
CD03-Emissao Do Relatorio Detalhamento de Custos - Apenas Nota de Entrada
(+2 mais)</t>
  </si>
  <si>
    <t>MODAJOI-100650</t>
  </si>
  <si>
    <t>ERP - venda não apresenta os dois seguros vendidos ==================================</t>
  </si>
  <si>
    <t>ao verificar no BD os seguros são listados: e ao conferir no relatório também esta listando.</t>
  </si>
  <si>
    <t>CD18-Venda com Destaque de IPI Com Dois Itens
CD02-Venda com Dois Itens com Cliente Pessoa Física e Troca
CD04-Faturamento Formas Pagamento Pix + Dois Cartoes Credito
(+2 mais)</t>
  </si>
  <si>
    <t>MODAJOI-100597</t>
  </si>
  <si>
    <t>Erro SQL ao acessar Portal ==================================</t>
  </si>
  <si>
    <t>Erro de banco de dados causado na reativação do portal via MODAJOI-99848.</t>
  </si>
  <si>
    <t>CD02-Gerar Ticket Manual com Base Central
CD01- Pequisar Portal Multimarca
CD01-Verificar Disponibilidade de Vinculo Para Portal Rede
(+2 mais)</t>
  </si>
  <si>
    <t>MODAJOI-100533</t>
  </si>
  <si>
    <t>ERP - Erro ao selecionar itens para devolução de compra fácil ==================================</t>
  </si>
  <si>
    <t>[Alteração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</si>
  <si>
    <t>CD01-Entrada de Recusa de Devolução de Compra
CD16 - Devolução de Compras - Devolução Parcial dos Itens.
CD17-Devolução por nota com múltiplas linhas do mesmo produto
(+2 mais)</t>
  </si>
  <si>
    <t>MODAJOI-100362</t>
  </si>
  <si>
    <t>Na rotina ERP &gt; Faturamentos &gt; Exportação de Dados, ao processar a configuração “Electrolux Venda/Cancelamento de Seguros (6461)” no Linx Microvix, as exportações vêm sendo finalizadas de forma int...</t>
  </si>
  <si>
    <t>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</si>
  <si>
    <t>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</si>
  <si>
    <t>CD04-Realizar uma Venda Mista e Cancelamento do Pedido
CD05-Realizar uma Venda Vitrine e Cancelar o Pedido
CD05-Implantacao de Novo Portal - Informar Dados Bancarios
(+2 mais)</t>
  </si>
  <si>
    <t>MODAJOI-100566</t>
  </si>
  <si>
    <t>Rejeição 929  CST de Diferimento sem informações - ERP</t>
  </si>
  <si>
    <t>Feito a nota pontualmente, pois a correção efetiva sairá na demanda # MODAJOI-100388</t>
  </si>
  <si>
    <t>CD005-Pre Venda Rejeicao por CST Incorreta
CD15-Devolucao de Compras com uma rejeição da nota
CD01 - Gerar nota de devolução a partir do produto com Venda CST 0.00 com cliente pessoa física do mesmo estado
(+2 mais)</t>
  </si>
  <si>
    <t>Issue Acompanhamento</t>
  </si>
  <si>
    <t>Issue Original</t>
  </si>
  <si>
    <t>Responsável</t>
  </si>
  <si>
    <t>Ação</t>
  </si>
  <si>
    <t>Status da Ação</t>
  </si>
  <si>
    <t>Data Limite</t>
  </si>
  <si>
    <t>Data Conclusão</t>
  </si>
  <si>
    <t>Observação</t>
  </si>
  <si>
    <t>240301</t>
  </si>
  <si>
    <t>Altimara</t>
  </si>
  <si>
    <t>Sustentação</t>
  </si>
  <si>
    <t>Criar mais um cenário para PJ</t>
  </si>
  <si>
    <t>Análise</t>
  </si>
  <si>
    <t>240302</t>
  </si>
  <si>
    <t>Alessandra/Murilo</t>
  </si>
  <si>
    <t>Arquitetura</t>
  </si>
  <si>
    <t>Verificar uma maneira de, assim como trocamos de ambiente, fazer a troca para usuários para rodar os testes (ao menos CI/CD) automatizados de forma geral</t>
  </si>
  <si>
    <t>Deivis</t>
  </si>
  <si>
    <t>Cobrar o fornecedor uma solução definitiva</t>
  </si>
  <si>
    <t>Andamento</t>
  </si>
  <si>
    <t>24/03 – Já foi cobrado e o Fornecedor informa que ainda está avaliando.</t>
  </si>
  <si>
    <t>Criar Teste Automatizado</t>
  </si>
  <si>
    <t>Ademir</t>
  </si>
  <si>
    <t>Analisar e criar TA se houver possibilidade</t>
  </si>
  <si>
    <t>Fazer uma busca para validar se a blindagem pela quantidade para a sincronização de perdeu</t>
  </si>
  <si>
    <t>Concluído</t>
  </si>
  <si>
    <t>Será aberto um bug interno para corrigir a situação.</t>
  </si>
  <si>
    <t xml:space="preserve">Criar um item para analisar a correção definitiva as Rejeições 865 e 866 </t>
  </si>
  <si>
    <t>Debora</t>
  </si>
  <si>
    <t>Data Arquivamento</t>
  </si>
  <si>
    <t>ℹ️ Issues com Analisado=Sim importadas há mais de 30 dias são movidas para esta aba automaticamente.</t>
  </si>
  <si>
    <t>QA Secundário</t>
  </si>
  <si>
    <t>Dev Secundário</t>
  </si>
  <si>
    <t>Willian Dias Brito</t>
  </si>
  <si>
    <t>Balanço</t>
  </si>
  <si>
    <t>Ana Paula Coelho</t>
  </si>
  <si>
    <t>João Vitor Leone</t>
  </si>
  <si>
    <t>Mauricio Maia</t>
  </si>
  <si>
    <t>Conciliadores</t>
  </si>
  <si>
    <t>Rejeições</t>
  </si>
  <si>
    <t>Conferencia de Caixa</t>
  </si>
  <si>
    <t>Luis</t>
  </si>
  <si>
    <t>Trocas</t>
  </si>
  <si>
    <t>Maica</t>
  </si>
  <si>
    <t>Raul</t>
  </si>
  <si>
    <t>Ótico</t>
  </si>
  <si>
    <t>B2C</t>
  </si>
  <si>
    <t>Amanda</t>
  </si>
  <si>
    <t>Importadores</t>
  </si>
  <si>
    <t>Marcus</t>
  </si>
  <si>
    <t>Serviços e Painel NFse</t>
  </si>
  <si>
    <t>Guilherme</t>
  </si>
  <si>
    <t>SmartPOS</t>
  </si>
  <si>
    <t>Catalogo Digital</t>
  </si>
  <si>
    <t>Venda de Seguros</t>
  </si>
  <si>
    <t>Reshop</t>
  </si>
  <si>
    <t>ℹ️ Edite o arquivo rca_config.yaml para alterar responsáveis. Re-execute generate_excel.py para atualizar.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</si>
</sst>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8">
    <font>
      <sz val="11"/>
      <color theme="1"/>
      <name val="Calibri"/>
      <family val="2"/>
      <charset val="1"/>
    </font>
    <font>
      <b/>
      <sz val="10"/>
      <color rgb="FFFFFFFF"/>
      <name val="Calibri"/>
      <charset val="1"/>
    </font>
    <font>
      <b/>
      <u/>
      <sz val="9"/>
      <color rgb="FF0563C1"/>
      <name val="Calibri"/>
      <charset val="1"/>
    </font>
    <font>
      <sz val="9"/>
      <name val="Calibri"/>
      <charset val="1"/>
    </font>
    <font>
      <b/>
      <sz val="9"/>
      <color rgb="FF9C0006"/>
      <name val="Calibri"/>
      <charset val="1"/>
    </font>
    <font>
      <b/>
      <sz val="9"/>
      <color rgb="FF9C6500"/>
      <name val="Calibri"/>
      <charset val="1"/>
    </font>
    <font>
      <u/>
      <sz val="9"/>
      <color rgb="FF0563C1"/>
      <name val="Calibri"/>
      <charset val="1"/>
    </font>
    <font>
      <i/>
      <sz val="8"/>
      <color rgb="FF888888"/>
      <name val="Calibri"/>
      <charset val="1"/>
    </font>
  </fonts>
  <fills count="17">
    <fill>
      <patternFill patternType="none"/>
    </fill>
    <fill>
      <patternFill patternType="gray125"/>
    </fill>
    <fill>
      <patternFill patternType="solid">
        <fgColor rgb="FF1F4E79"/>
        <bgColor rgb="FF44546A"/>
      </patternFill>
    </fill>
    <fill>
      <patternFill patternType="solid">
        <fgColor rgb="FF44546A"/>
        <bgColor rgb="FF1F4E79"/>
      </patternFill>
    </fill>
    <fill>
      <patternFill patternType="solid">
        <fgColor rgb="FF375623"/>
        <bgColor rgb="FF44546A"/>
      </patternFill>
    </fill>
    <fill>
      <patternFill patternType="solid">
        <fgColor rgb="FFD6E4F0"/>
        <bgColor rgb="FFE8EAED"/>
      </patternFill>
    </fill>
    <fill>
      <patternFill patternType="solid">
        <fgColor rgb="FFFFC7CE"/>
        <bgColor rgb="FFCCCCCC"/>
      </patternFill>
    </fill>
    <fill>
      <patternFill patternType="solid">
        <fgColor rgb="FFE8EAED"/>
        <bgColor rgb="FFEBF1DE"/>
      </patternFill>
    </fill>
    <fill>
      <patternFill patternType="solid">
        <fgColor rgb="FFEBF1DE"/>
        <bgColor rgb="FFE2EFDA"/>
      </patternFill>
    </fill>
    <fill>
      <patternFill patternType="solid">
        <fgColor rgb="FFFFEB9C"/>
        <bgColor rgb="FFFFF2CC"/>
      </patternFill>
    </fill>
    <fill>
      <patternFill patternType="solid">
        <fgColor rgb="FFEFF6FF"/>
        <bgColor rgb="FFEBF3FB"/>
      </patternFill>
    </fill>
    <fill>
      <patternFill patternType="solid">
        <fgColor rgb="FF2E75B6"/>
        <bgColor rgb="FF0563C1"/>
      </patternFill>
    </fill>
    <fill>
      <patternFill patternType="solid">
        <fgColor rgb="FFEBF3FB"/>
        <bgColor rgb="FFEFF6FF"/>
      </patternFill>
    </fill>
    <fill>
      <patternFill patternType="solid">
        <fgColor rgb="FFFFF2CC"/>
        <bgColor rgb="FFEBF1DE"/>
      </patternFill>
    </fill>
    <fill>
      <patternFill patternType="solid">
        <fgColor rgb="FFE2EFDA"/>
        <bgColor rgb="FFEBF1DE"/>
      </patternFill>
    </fill>
    <fill>
      <patternFill patternType="solid">
        <fgColor rgb="FF7F6000"/>
        <bgColor rgb="FF9C6500"/>
      </patternFill>
    </fill>
    <fill>
      <patternFill patternType="solid">
        <fgColor rgb="FFFFFFFF"/>
        <bgColor rgb="FFEFF6FF"/>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2">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2" fillId="5" borderId="1" xfId="0" applyFont="1" applyFill="1" applyBorder="1" applyAlignment="1">
      <alignment vertical="center"/>
    </xf>
    <xf numFmtId="0" fontId="3" fillId="5" borderId="1" xfId="0" applyFont="1" applyFill="1" applyBorder="1" applyAlignment="1">
      <alignment vertical="center"/>
    </xf>
    <xf numFmtId="164" fontId="3" fillId="5" borderId="1" xfId="0" applyNumberFormat="1" applyFont="1" applyFill="1" applyBorder="1" applyAlignment="1">
      <alignment vertical="center"/>
    </xf>
    <xf numFmtId="1" fontId="3" fillId="5" borderId="1" xfId="0" applyNumberFormat="1" applyFont="1" applyFill="1" applyBorder="1" applyAlignment="1">
      <alignment vertical="center"/>
    </xf>
    <xf numFmtId="0" fontId="4" fillId="6" borderId="1" xfId="0" applyFont="1" applyFill="1" applyBorder="1" applyAlignment="1">
      <alignment vertical="center"/>
    </xf>
    <xf numFmtId="0" fontId="3" fillId="7" borderId="1" xfId="0" applyFont="1" applyFill="1" applyBorder="1" applyAlignment="1">
      <alignment vertical="center"/>
    </xf>
    <xf numFmtId="0" fontId="3" fillId="7" borderId="1" xfId="0" applyFont="1" applyFill="1" applyBorder="1" applyAlignment="1">
      <alignment vertical="top" wrapText="1"/>
    </xf>
    <xf numFmtId="0" fontId="3" fillId="8" borderId="1" xfId="0" applyFont="1" applyFill="1" applyBorder="1" applyAlignment="1">
      <alignment vertical="center" wrapText="1"/>
    </xf>
    <xf numFmtId="0" fontId="3" fillId="8" borderId="1" xfId="0" applyFont="1" applyFill="1" applyBorder="1" applyAlignment="1">
      <alignment vertical="center"/>
    </xf>
    <xf numFmtId="0" fontId="3" fillId="8" borderId="1" xfId="0" applyFont="1" applyFill="1" applyBorder="1" applyAlignment="1">
      <alignment horizontal="center" vertical="center"/>
    </xf>
    <xf numFmtId="164" fontId="3" fillId="8" borderId="1" xfId="0" applyNumberFormat="1" applyFont="1" applyFill="1" applyBorder="1" applyAlignment="1">
      <alignment vertical="center"/>
    </xf>
    <xf numFmtId="0" fontId="3" fillId="5" borderId="1" xfId="0" applyFont="1" applyFill="1" applyBorder="1" applyAlignment="1">
      <alignment vertical="center" wrapText="1"/>
    </xf>
    <xf numFmtId="0" fontId="5" fillId="9" borderId="1" xfId="0" applyFont="1" applyFill="1" applyBorder="1" applyAlignment="1">
      <alignment vertical="center"/>
    </xf>
    <xf numFmtId="0" fontId="3" fillId="10" borderId="1" xfId="0" applyFont="1" applyFill="1" applyBorder="1" applyAlignment="1">
      <alignment vertical="center"/>
    </xf>
    <xf numFmtId="0" fontId="1" fillId="11" borderId="1" xfId="0" applyFont="1" applyFill="1" applyBorder="1" applyAlignment="1">
      <alignment horizontal="center" vertical="center" wrapText="1"/>
    </xf>
    <xf numFmtId="0" fontId="2" fillId="0" borderId="1" xfId="0" applyFont="1" applyBorder="1" applyAlignment="1">
      <alignment vertical="center"/>
    </xf>
    <xf numFmtId="0" fontId="6" fillId="0" borderId="1" xfId="0" applyFont="1" applyBorder="1" applyAlignment="1">
      <alignment vertical="center"/>
    </xf>
    <xf numFmtId="0" fontId="3" fillId="0" borderId="1" xfId="0" applyFont="1" applyBorder="1" applyAlignment="1">
      <alignment vertical="center"/>
    </xf>
    <xf numFmtId="0" fontId="3" fillId="12" borderId="1" xfId="0" applyFont="1" applyFill="1" applyBorder="1" applyAlignment="1">
      <alignment vertical="center"/>
    </xf>
    <xf numFmtId="0" fontId="3" fillId="0" borderId="1" xfId="0" applyFont="1" applyBorder="1" applyAlignment="1">
      <alignment vertical="center" wrapText="1"/>
    </xf>
    <xf numFmtId="0" fontId="3" fillId="13" borderId="1" xfId="0" applyFont="1" applyFill="1" applyBorder="1" applyAlignment="1">
      <alignment vertical="center"/>
    </xf>
    <xf numFmtId="0" fontId="3" fillId="14"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1" fillId="15" borderId="1" xfId="0" applyFont="1" applyFill="1" applyBorder="1" applyAlignment="1">
      <alignment horizontal="center" vertical="center" wrapText="1"/>
    </xf>
    <xf numFmtId="0" fontId="3" fillId="16" borderId="1" xfId="0" applyFont="1" applyFill="1" applyBorder="1" applyAlignment="1">
      <alignment vertical="center"/>
    </xf>
    <xf numFmtId="0" fontId="7"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CCCCC"/>
      <rgbColor rgb="FF888888"/>
      <rgbColor rgb="FF9999FF"/>
      <rgbColor rgb="FF993366"/>
      <rgbColor rgb="FFFFF2CC"/>
      <rgbColor rgb="FFEBF3FB"/>
      <rgbColor rgb="FF660066"/>
      <rgbColor rgb="FFFF8080"/>
      <rgbColor rgb="FF0563C1"/>
      <rgbColor rgb="FFD6E4F0"/>
      <rgbColor rgb="FF000080"/>
      <rgbColor rgb="FFFF00FF"/>
      <rgbColor rgb="FFFFFF00"/>
      <rgbColor rgb="FF00FFFF"/>
      <rgbColor rgb="FF800080"/>
      <rgbColor rgb="FF800000"/>
      <rgbColor rgb="FF008080"/>
      <rgbColor rgb="FF0000FF"/>
      <rgbColor rgb="FF00CCFF"/>
      <rgbColor rgb="FFEFF6FF"/>
      <rgbColor rgb="FFE2EFDA"/>
      <rgbColor rgb="FFFFEB9C"/>
      <rgbColor rgb="FFE8EAED"/>
      <rgbColor rgb="FFEBF1DE"/>
      <rgbColor rgb="FFCC99FF"/>
      <rgbColor rgb="FFFFC7CE"/>
      <rgbColor rgb="FF2E75B6"/>
      <rgbColor rgb="FF33CCCC"/>
      <rgbColor rgb="FF99CC00"/>
      <rgbColor rgb="FFFFCC00"/>
      <rgbColor rgb="FFFF9900"/>
      <rgbColor rgb="FFFF6600"/>
      <rgbColor rgb="FF44546A"/>
      <rgbColor rgb="FF969696"/>
      <rgbColor rgb="FF003366"/>
      <rgbColor rgb="FF339966"/>
      <rgbColor rgb="FF003300"/>
      <rgbColor rgb="FF333300"/>
      <rgbColor rgb="FF9C6500"/>
      <rgbColor rgb="FF993366"/>
      <rgbColor rgb="FF1F4E7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Dados" displayName="TabelaDados" ref="A1:AB37" totalsRowShown="0">
  <autoFilter ref="A1:AB37" xr:uid="{00000000-0009-0000-0100-000002000000}"/>
  <tableColumns count="28">
    <tableColumn id="1" xr3:uid="{00000000-0010-0000-0000-000001000000}" name="Key"/>
    <tableColumn id="2" xr3:uid="{00000000-0010-0000-0000-000002000000}" name="Resumo"/>
    <tableColumn id="3" xr3:uid="{00000000-0010-0000-0000-000003000000}" name="Status Jira"/>
    <tableColumn id="4" xr3:uid="{00000000-0010-0000-0000-000004000000}" name="Prioridade"/>
    <tableColumn id="5" xr3:uid="{00000000-0010-0000-0000-000005000000}" name="Data Criação"/>
    <tableColumn id="6" xr3:uid="{00000000-0010-0000-0000-000006000000}" name="Data Resolução"/>
    <tableColumn id="7" xr3:uid="{00000000-0010-0000-0000-000007000000}" name="Dias p/ Resolver"/>
    <tableColumn id="8" xr3:uid="{00000000-0010-0000-0000-000008000000}" name="DeV Responsável pelo Bug"/>
    <tableColumn id="9" xr3:uid="{00000000-0010-0000-0000-000009000000}" name="QA Responsável pelo Bug"/>
    <tableColumn id="10" xr3:uid="{00000000-0010-0000-0000-00000A000000}" name="Qtd Vínculos"/>
    <tableColumn id="11" xr3:uid="{00000000-0010-0000-0000-00000B000000}" name="Causa Raiz"/>
    <tableColumn id="12" xr3:uid="{00000000-0010-0000-0000-00000C000000}" name="Time"/>
    <tableColumn id="13" xr3:uid="{00000000-0010-0000-0000-00000D000000}" name="Área"/>
    <tableColumn id="14" xr3:uid="{00000000-0010-0000-0000-00000E000000}" name="Tipo Erro (Auto)"/>
    <tableColumn id="15" xr3:uid="{00000000-0010-0000-0000-00000F000000}" name="Ação Realizada no Bug"/>
    <tableColumn id="16" xr3:uid="{00000000-0010-0000-0000-000010000000}" name="Análise da Causa"/>
    <tableColumn id="17" xr3:uid="{00000000-0010-0000-0000-000011000000}" name="Tipo de Ajuste"/>
    <tableColumn id="18" xr3:uid="{00000000-0010-0000-0000-000012000000}" name="Possui TA"/>
    <tableColumn id="19" xr3:uid="{00000000-0010-0000-0000-000013000000}" name="Arquivo TA"/>
    <tableColumn id="20" xr3:uid="{00000000-0010-0000-0000-000014000000}" name="Resultado da Automação"/>
    <tableColumn id="21" xr3:uid="{00000000-0010-0000-0000-000015000000}" name="Contexto"/>
    <tableColumn id="22" xr3:uid="{00000000-0010-0000-0000-000016000000}" name="Problema Resolvido?"/>
    <tableColumn id="23" xr3:uid="{00000000-0010-0000-0000-000017000000}" name="QA Principal"/>
    <tableColumn id="24" xr3:uid="{00000000-0010-0000-0000-000018000000}" name="Dev Principal"/>
    <tableColumn id="25" xr3:uid="{00000000-0010-0000-0000-000019000000}" name="Issue de Acompanhamento"/>
    <tableColumn id="26" xr3:uid="{00000000-0010-0000-0000-00001A000000}" name="Plano Ação/Lição Aprendida"/>
    <tableColumn id="27" xr3:uid="{00000000-0010-0000-0000-00001B000000}" name="Analisado"/>
    <tableColumn id="28" xr3:uid="{00000000-0010-0000-0000-00001C000000}" name="Data Filtragem"/>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elaAcompanhamento" displayName="TabelaAcompanhamento" ref="A1:I10" totalsRowShown="0">
  <autoFilter ref="A1:I10" xr:uid="{00000000-0009-0000-0100-000001000000}"/>
  <tableColumns count="9">
    <tableColumn id="1" xr3:uid="{00000000-0010-0000-0100-000001000000}" name="Issue Acompanhamento"/>
    <tableColumn id="2" xr3:uid="{00000000-0010-0000-0100-000002000000}" name="Issue Original"/>
    <tableColumn id="3" xr3:uid="{00000000-0010-0000-0100-000003000000}" name="Responsável"/>
    <tableColumn id="4" xr3:uid="{00000000-0010-0000-0100-000004000000}" name="Área"/>
    <tableColumn id="5" xr3:uid="{00000000-0010-0000-0100-000005000000}" name="Ação"/>
    <tableColumn id="6" xr3:uid="{00000000-0010-0000-0100-000006000000}" name="Status da Ação"/>
    <tableColumn id="7" xr3:uid="{00000000-0010-0000-0100-000007000000}" name="Data Limite"/>
    <tableColumn id="8" xr3:uid="{00000000-0010-0000-0100-000008000000}" name="Data Conclusão"/>
    <tableColumn id="9" xr3:uid="{00000000-0010-0000-0100-000009000000}" name="Observação"/>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Responsaveis" displayName="TabelaResponsaveis" ref="A1:F23" totalsRowShown="0">
  <autoFilter ref="A1:F23" xr:uid="{00000000-0009-0000-0100-000003000000}"/>
  <tableColumns count="6">
    <tableColumn id="1" xr3:uid="{00000000-0010-0000-0200-000001000000}" name="Time"/>
    <tableColumn id="2" xr3:uid="{00000000-0010-0000-0200-000002000000}" name="Área"/>
    <tableColumn id="3" xr3:uid="{00000000-0010-0000-0200-000003000000}" name="QA Principal"/>
    <tableColumn id="4" xr3:uid="{00000000-0010-0000-0200-000004000000}" name="QA Secundário"/>
    <tableColumn id="5" xr3:uid="{00000000-0010-0000-0200-000005000000}" name="Dev Principal"/>
    <tableColumn id="6" xr3:uid="{00000000-0010-0000-0200-000006000000}" name="Dev Secundário"/>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jira.linx.com.br/browse/MODAJOI-101199" TargetMode="External"/><Relationship Id="rId13" Type="http://schemas.openxmlformats.org/officeDocument/2006/relationships/hyperlink" Target="https://jira.linx.com.br/browse/MODAJOI-101067" TargetMode="External"/><Relationship Id="rId18" Type="http://schemas.openxmlformats.org/officeDocument/2006/relationships/hyperlink" Target="https://jira.linx.com.br/browse/MODAJOI-100396" TargetMode="External"/><Relationship Id="rId26" Type="http://schemas.openxmlformats.org/officeDocument/2006/relationships/hyperlink" Target="https://jira.linx.com.br/browse/MODAJOI-100461" TargetMode="External"/><Relationship Id="rId3" Type="http://schemas.openxmlformats.org/officeDocument/2006/relationships/hyperlink" Target="https://jira.linx.com.br/browse/MODAJOI-100887" TargetMode="External"/><Relationship Id="rId21" Type="http://schemas.openxmlformats.org/officeDocument/2006/relationships/hyperlink" Target="https://jira.linx.com.br/browse/MODAJOI-100187" TargetMode="External"/><Relationship Id="rId7" Type="http://schemas.openxmlformats.org/officeDocument/2006/relationships/hyperlink" Target="https://jira.linx.com.br/browse/MODAJOI-100894" TargetMode="External"/><Relationship Id="rId12" Type="http://schemas.openxmlformats.org/officeDocument/2006/relationships/hyperlink" Target="https://jira.linx.com.br/browse/MODAJOI-100979" TargetMode="External"/><Relationship Id="rId17" Type="http://schemas.openxmlformats.org/officeDocument/2006/relationships/hyperlink" Target="https://jira.linx.com.br/browse/MODAJOI-100867" TargetMode="External"/><Relationship Id="rId25" Type="http://schemas.openxmlformats.org/officeDocument/2006/relationships/hyperlink" Target="https://jira.linx.com.br/browse/MODAJOI-100578" TargetMode="External"/><Relationship Id="rId2" Type="http://schemas.openxmlformats.org/officeDocument/2006/relationships/hyperlink" Target="https://jira.linx.com.br/browse/MODAJOI-101207" TargetMode="External"/><Relationship Id="rId16" Type="http://schemas.openxmlformats.org/officeDocument/2006/relationships/hyperlink" Target="https://jira.linx.com.br/browse/MODAJOI-101005" TargetMode="External"/><Relationship Id="rId20" Type="http://schemas.openxmlformats.org/officeDocument/2006/relationships/hyperlink" Target="https://jira.linx.com.br/browse/MODAJOI-100652" TargetMode="External"/><Relationship Id="rId1" Type="http://schemas.openxmlformats.org/officeDocument/2006/relationships/hyperlink" Target="https://jira.linx.com.br/browse/MODAJOI-100985" TargetMode="External"/><Relationship Id="rId6" Type="http://schemas.openxmlformats.org/officeDocument/2006/relationships/hyperlink" Target="https://jira.linx.com.br/browse/MODAJOI-101378" TargetMode="External"/><Relationship Id="rId11" Type="http://schemas.openxmlformats.org/officeDocument/2006/relationships/hyperlink" Target="https://jira.linx.com.br/browse/MODAJOI-100934" TargetMode="External"/><Relationship Id="rId24" Type="http://schemas.openxmlformats.org/officeDocument/2006/relationships/hyperlink" Target="https://jira.linx.com.br/browse/MODAJOI-100393" TargetMode="External"/><Relationship Id="rId5" Type="http://schemas.openxmlformats.org/officeDocument/2006/relationships/hyperlink" Target="https://jira.linx.com.br/browse/MODAJOI-101011" TargetMode="External"/><Relationship Id="rId15" Type="http://schemas.openxmlformats.org/officeDocument/2006/relationships/hyperlink" Target="https://jira.linx.com.br/browse/MODAJOI-100388" TargetMode="External"/><Relationship Id="rId23" Type="http://schemas.openxmlformats.org/officeDocument/2006/relationships/hyperlink" Target="https://jira.linx.com.br/browse/MODAJOI-100251" TargetMode="External"/><Relationship Id="rId28" Type="http://schemas.openxmlformats.org/officeDocument/2006/relationships/table" Target="../tables/table1.xml"/><Relationship Id="rId10" Type="http://schemas.openxmlformats.org/officeDocument/2006/relationships/hyperlink" Target="https://jira.linx.com.br/browse/MODAJOI-101292" TargetMode="External"/><Relationship Id="rId19" Type="http://schemas.openxmlformats.org/officeDocument/2006/relationships/hyperlink" Target="https://jira.linx.com.br/browse/MODAJOI-100761" TargetMode="External"/><Relationship Id="rId4" Type="http://schemas.openxmlformats.org/officeDocument/2006/relationships/hyperlink" Target="https://jira.linx.com.br/browse/MODAJOI-101185" TargetMode="External"/><Relationship Id="rId9" Type="http://schemas.openxmlformats.org/officeDocument/2006/relationships/hyperlink" Target="https://jira.linx.com.br/browse/MODAJOI-100808" TargetMode="External"/><Relationship Id="rId14" Type="http://schemas.openxmlformats.org/officeDocument/2006/relationships/hyperlink" Target="https://jira.linx.com.br/browse/MODAJOI-100733" TargetMode="External"/><Relationship Id="rId22" Type="http://schemas.openxmlformats.org/officeDocument/2006/relationships/hyperlink" Target="https://jira.linx.com.br/browse/MODAJOI-99532" TargetMode="External"/><Relationship Id="rId27" Type="http://schemas.openxmlformats.org/officeDocument/2006/relationships/hyperlink" Target="https://jira.linx.com.br/browse/MODAJOI-10041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jira.linx.com.br/browse/MODAJOI-100418" TargetMode="External"/><Relationship Id="rId3" Type="http://schemas.openxmlformats.org/officeDocument/2006/relationships/hyperlink" Target="https://jira.linx.com.br/browse/MODAJOI-100396" TargetMode="External"/><Relationship Id="rId7" Type="http://schemas.openxmlformats.org/officeDocument/2006/relationships/hyperlink" Target="https://jira.linx.com.br/browse/MODAJOI-100461" TargetMode="External"/><Relationship Id="rId2" Type="http://schemas.openxmlformats.org/officeDocument/2006/relationships/hyperlink" Target="https://jira.linx.com.br/browse/MODAJOI-100979" TargetMode="External"/><Relationship Id="rId1" Type="http://schemas.openxmlformats.org/officeDocument/2006/relationships/hyperlink" Target="https://jira.linx.com.br/browse/MODAJOI-100934" TargetMode="External"/><Relationship Id="rId6" Type="http://schemas.openxmlformats.org/officeDocument/2006/relationships/hyperlink" Target="https://jira.linx.com.br/browse/MODAJOI-100578" TargetMode="External"/><Relationship Id="rId5" Type="http://schemas.openxmlformats.org/officeDocument/2006/relationships/hyperlink" Target="https://jira.linx.com.br/browse/MODAJOI-100187" TargetMode="External"/><Relationship Id="rId4" Type="http://schemas.openxmlformats.org/officeDocument/2006/relationships/hyperlink" Target="https://jira.linx.com.br/browse/MODAJOI-100652" TargetMode="External"/><Relationship Id="rId9"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7"/>
  <sheetViews>
    <sheetView tabSelected="1" topLeftCell="F1" zoomScaleNormal="100" workbookViewId="0">
      <pane ySplit="1" topLeftCell="A2" activePane="bottomLeft" state="frozen"/>
      <selection pane="bottomLeft" activeCell="I6" sqref="I6"/>
      <selection activeCell="F1" sqref="F1"/>
    </sheetView>
  </sheetViews>
  <sheetFormatPr defaultColWidth="8.5703125" defaultRowHeight="15"/>
  <cols>
    <col min="1" max="1" width="14" customWidth="1"/>
    <col min="2" max="2" width="52" customWidth="1"/>
    <col min="3" max="3" width="15" customWidth="1"/>
    <col min="4" max="4" width="13" customWidth="1"/>
    <col min="5" max="7" width="14" customWidth="1"/>
    <col min="8" max="9" width="20" customWidth="1"/>
    <col min="10" max="10" width="13" customWidth="1"/>
    <col min="11" max="11" width="40" customWidth="1"/>
    <col min="12" max="12" width="16" customWidth="1"/>
    <col min="13" max="14" width="18" customWidth="1"/>
    <col min="15" max="15" width="50" customWidth="1"/>
    <col min="16" max="16" width="40" style="1" customWidth="1"/>
    <col min="17" max="17" width="22" customWidth="1"/>
    <col min="18" max="18" width="14" customWidth="1"/>
    <col min="19" max="19" width="35" style="1" customWidth="1"/>
    <col min="20" max="20" width="20" customWidth="1"/>
    <col min="21" max="21" width="40" customWidth="1"/>
    <col min="22" max="25" width="18" customWidth="1"/>
    <col min="26" max="26" width="32" customWidth="1"/>
    <col min="27" max="28" width="14" customWidth="1"/>
  </cols>
  <sheetData>
    <row r="1" spans="1:28" ht="36" customHeight="1">
      <c r="A1" s="2" t="s">
        <v>0</v>
      </c>
      <c r="B1" s="2" t="s">
        <v>1</v>
      </c>
      <c r="C1" s="2" t="s">
        <v>2</v>
      </c>
      <c r="D1" s="2" t="s">
        <v>3</v>
      </c>
      <c r="E1" s="2" t="s">
        <v>4</v>
      </c>
      <c r="F1" s="2" t="s">
        <v>5</v>
      </c>
      <c r="G1" s="2" t="s">
        <v>6</v>
      </c>
      <c r="H1" s="2" t="s">
        <v>7</v>
      </c>
      <c r="I1" s="2" t="s">
        <v>8</v>
      </c>
      <c r="J1" s="2" t="s">
        <v>9</v>
      </c>
      <c r="K1" s="2" t="s">
        <v>10</v>
      </c>
      <c r="L1" s="3" t="s">
        <v>11</v>
      </c>
      <c r="M1" s="3" t="s">
        <v>12</v>
      </c>
      <c r="N1" s="3" t="s">
        <v>13</v>
      </c>
      <c r="O1" s="3" t="s">
        <v>14</v>
      </c>
      <c r="P1" s="4" t="s">
        <v>15</v>
      </c>
      <c r="Q1" s="4" t="s">
        <v>16</v>
      </c>
      <c r="R1" s="4" t="s">
        <v>17</v>
      </c>
      <c r="S1" s="4" t="s">
        <v>18</v>
      </c>
      <c r="T1" s="4" t="s">
        <v>19</v>
      </c>
      <c r="U1" s="4" t="s">
        <v>20</v>
      </c>
      <c r="V1" s="4" t="s">
        <v>21</v>
      </c>
      <c r="W1" s="4" t="s">
        <v>22</v>
      </c>
      <c r="X1" s="4" t="s">
        <v>23</v>
      </c>
      <c r="Y1" s="4" t="s">
        <v>24</v>
      </c>
      <c r="Z1" s="4" t="s">
        <v>25</v>
      </c>
      <c r="AA1" s="4" t="s">
        <v>26</v>
      </c>
      <c r="AB1" s="4" t="s">
        <v>27</v>
      </c>
    </row>
    <row r="2" spans="1:28" ht="39.75" customHeight="1">
      <c r="A2" s="5" t="s">
        <v>28</v>
      </c>
      <c r="B2" s="6" t="s">
        <v>29</v>
      </c>
      <c r="C2" s="6" t="s">
        <v>30</v>
      </c>
      <c r="D2" s="6" t="s">
        <v>31</v>
      </c>
      <c r="E2" s="7">
        <v>46099</v>
      </c>
      <c r="F2" s="7">
        <v>46108</v>
      </c>
      <c r="G2" s="8">
        <f>IF(OR(E2="",F2=""),"",INT(F2-E2))</f>
        <v>9</v>
      </c>
      <c r="H2" s="6" t="s">
        <v>32</v>
      </c>
      <c r="I2" s="6" t="s">
        <v>33</v>
      </c>
      <c r="J2" s="9">
        <v>19</v>
      </c>
      <c r="K2" s="6" t="s">
        <v>29</v>
      </c>
      <c r="L2" s="10" t="s">
        <v>34</v>
      </c>
      <c r="M2" s="10" t="s">
        <v>35</v>
      </c>
      <c r="N2" s="10" t="s">
        <v>36</v>
      </c>
      <c r="O2" s="11" t="s">
        <v>37</v>
      </c>
      <c r="P2" s="12"/>
      <c r="Q2" s="13"/>
      <c r="R2" s="13" t="s">
        <v>38</v>
      </c>
      <c r="S2" s="12" t="s">
        <v>39</v>
      </c>
      <c r="T2" s="13"/>
      <c r="U2" s="13"/>
      <c r="V2" s="13"/>
      <c r="W2" s="13" t="s">
        <v>40</v>
      </c>
      <c r="X2" s="13" t="s">
        <v>41</v>
      </c>
      <c r="Y2" s="13"/>
      <c r="Z2" s="13"/>
      <c r="AA2" s="14"/>
      <c r="AB2" s="15">
        <v>46111</v>
      </c>
    </row>
    <row r="3" spans="1:28" ht="39.75" customHeight="1">
      <c r="A3" s="5" t="s">
        <v>42</v>
      </c>
      <c r="B3" s="16" t="s">
        <v>43</v>
      </c>
      <c r="C3" s="6" t="s">
        <v>30</v>
      </c>
      <c r="D3" s="6" t="s">
        <v>44</v>
      </c>
      <c r="E3" s="7">
        <v>46106</v>
      </c>
      <c r="F3" s="7">
        <v>46111</v>
      </c>
      <c r="G3" s="8">
        <f>IF(OR(E3="",F3=""),"",INT(F3-E3))</f>
        <v>5</v>
      </c>
      <c r="H3" s="6" t="s">
        <v>45</v>
      </c>
      <c r="I3" s="6" t="s">
        <v>46</v>
      </c>
      <c r="J3" s="9">
        <v>8</v>
      </c>
      <c r="K3" s="6" t="s">
        <v>43</v>
      </c>
      <c r="L3" s="10" t="s">
        <v>47</v>
      </c>
      <c r="M3" s="10" t="s">
        <v>48</v>
      </c>
      <c r="N3" s="10" t="s">
        <v>49</v>
      </c>
      <c r="O3" s="11" t="s">
        <v>50</v>
      </c>
      <c r="P3" s="12"/>
      <c r="Q3" s="13"/>
      <c r="R3" s="13" t="s">
        <v>38</v>
      </c>
      <c r="S3" s="12" t="s">
        <v>51</v>
      </c>
      <c r="T3" s="13"/>
      <c r="U3" s="13"/>
      <c r="V3" s="13"/>
      <c r="W3" s="13" t="s">
        <v>52</v>
      </c>
      <c r="X3" s="13" t="s">
        <v>53</v>
      </c>
      <c r="Y3" s="13"/>
      <c r="Z3" s="13"/>
      <c r="AA3" s="14"/>
      <c r="AB3" s="15">
        <v>46111</v>
      </c>
    </row>
    <row r="4" spans="1:28" ht="46.35">
      <c r="A4" s="5" t="s">
        <v>54</v>
      </c>
      <c r="B4" s="16" t="s">
        <v>55</v>
      </c>
      <c r="C4" s="6" t="s">
        <v>30</v>
      </c>
      <c r="D4" s="6" t="s">
        <v>44</v>
      </c>
      <c r="E4" s="7">
        <v>46098</v>
      </c>
      <c r="F4" s="7">
        <v>46111</v>
      </c>
      <c r="G4" s="8">
        <f>IF(OR(E4="",F4=""),"",INT(F4-E4))</f>
        <v>13</v>
      </c>
      <c r="H4" s="6" t="s">
        <v>56</v>
      </c>
      <c r="I4" s="6" t="s">
        <v>57</v>
      </c>
      <c r="J4" s="9">
        <v>5</v>
      </c>
      <c r="K4" s="6" t="s">
        <v>55</v>
      </c>
      <c r="L4" s="10" t="s">
        <v>34</v>
      </c>
      <c r="M4" s="10" t="s">
        <v>35</v>
      </c>
      <c r="N4" s="10" t="s">
        <v>36</v>
      </c>
      <c r="O4" s="11" t="s">
        <v>58</v>
      </c>
      <c r="P4" s="12"/>
      <c r="Q4" s="13"/>
      <c r="R4" s="13" t="s">
        <v>38</v>
      </c>
      <c r="S4" s="12" t="s">
        <v>59</v>
      </c>
      <c r="T4" s="13"/>
      <c r="U4" s="13"/>
      <c r="V4" s="13"/>
      <c r="W4" s="13" t="s">
        <v>40</v>
      </c>
      <c r="X4" s="13" t="s">
        <v>41</v>
      </c>
      <c r="Y4" s="13"/>
      <c r="Z4" s="13"/>
      <c r="AA4" s="14"/>
      <c r="AB4" s="15">
        <v>46111</v>
      </c>
    </row>
    <row r="5" spans="1:28" ht="46.35">
      <c r="A5" s="5" t="s">
        <v>60</v>
      </c>
      <c r="B5" s="6" t="s">
        <v>61</v>
      </c>
      <c r="C5" s="6" t="s">
        <v>30</v>
      </c>
      <c r="D5" s="6" t="s">
        <v>62</v>
      </c>
      <c r="E5" s="7">
        <v>46105</v>
      </c>
      <c r="F5" s="7">
        <v>46106</v>
      </c>
      <c r="G5" s="8">
        <f>IF(OR(E5="",F5=""),"",INT(F5-E5))</f>
        <v>1</v>
      </c>
      <c r="H5" s="6" t="s">
        <v>63</v>
      </c>
      <c r="I5" s="6"/>
      <c r="J5" s="17">
        <v>3</v>
      </c>
      <c r="K5" s="6"/>
      <c r="L5" s="10" t="s">
        <v>34</v>
      </c>
      <c r="M5" s="10" t="s">
        <v>35</v>
      </c>
      <c r="N5" s="10" t="s">
        <v>36</v>
      </c>
      <c r="O5" s="11" t="s">
        <v>64</v>
      </c>
      <c r="P5" s="12"/>
      <c r="Q5" s="13"/>
      <c r="R5" s="13" t="s">
        <v>38</v>
      </c>
      <c r="S5" s="12" t="s">
        <v>65</v>
      </c>
      <c r="T5" s="13"/>
      <c r="U5" s="13"/>
      <c r="V5" s="13"/>
      <c r="W5" s="13" t="s">
        <v>40</v>
      </c>
      <c r="X5" s="13" t="s">
        <v>41</v>
      </c>
      <c r="Y5" s="13"/>
      <c r="Z5" s="13"/>
      <c r="AA5" s="14"/>
      <c r="AB5" s="15">
        <v>46111</v>
      </c>
    </row>
    <row r="6" spans="1:28" ht="55.35">
      <c r="A6" s="5" t="s">
        <v>66</v>
      </c>
      <c r="B6" s="6" t="s">
        <v>67</v>
      </c>
      <c r="C6" s="6" t="s">
        <v>30</v>
      </c>
      <c r="D6" s="6" t="s">
        <v>31</v>
      </c>
      <c r="E6" s="7">
        <v>46100</v>
      </c>
      <c r="F6" s="7">
        <v>46106</v>
      </c>
      <c r="G6" s="8">
        <f>IF(OR(E6="",F6=""),"",INT(F6-E6))</f>
        <v>6</v>
      </c>
      <c r="H6" s="6" t="s">
        <v>68</v>
      </c>
      <c r="I6" s="6"/>
      <c r="J6" s="6">
        <v>1</v>
      </c>
      <c r="K6" s="6" t="s">
        <v>67</v>
      </c>
      <c r="L6" s="10" t="s">
        <v>47</v>
      </c>
      <c r="M6" s="10" t="s">
        <v>69</v>
      </c>
      <c r="N6" s="10" t="s">
        <v>36</v>
      </c>
      <c r="O6" s="11" t="s">
        <v>70</v>
      </c>
      <c r="P6" s="12"/>
      <c r="Q6" s="13"/>
      <c r="R6" s="13" t="s">
        <v>38</v>
      </c>
      <c r="S6" s="12" t="s">
        <v>71</v>
      </c>
      <c r="T6" s="13"/>
      <c r="U6" s="13"/>
      <c r="V6" s="13"/>
      <c r="W6" s="13" t="s">
        <v>72</v>
      </c>
      <c r="X6" s="13" t="s">
        <v>73</v>
      </c>
      <c r="Y6" s="13"/>
      <c r="Z6" s="13"/>
      <c r="AA6" s="14"/>
      <c r="AB6" s="15">
        <v>46111</v>
      </c>
    </row>
    <row r="7" spans="1:28" ht="75.75">
      <c r="A7" s="5" t="s">
        <v>74</v>
      </c>
      <c r="B7" s="16" t="s">
        <v>75</v>
      </c>
      <c r="C7" s="6" t="s">
        <v>30</v>
      </c>
      <c r="D7" s="6" t="s">
        <v>31</v>
      </c>
      <c r="E7" s="7">
        <v>46108</v>
      </c>
      <c r="F7" s="7">
        <v>46109</v>
      </c>
      <c r="G7" s="8">
        <f>IF(OR(E7="",F7=""),"",INT(F7-E7))</f>
        <v>1</v>
      </c>
      <c r="H7" s="6" t="s">
        <v>76</v>
      </c>
      <c r="I7" s="6"/>
      <c r="J7" s="6">
        <v>1</v>
      </c>
      <c r="K7" s="6" t="s">
        <v>75</v>
      </c>
      <c r="L7" s="10" t="s">
        <v>77</v>
      </c>
      <c r="M7" s="10" t="s">
        <v>78</v>
      </c>
      <c r="N7" s="10" t="s">
        <v>36</v>
      </c>
      <c r="O7" s="11" t="s">
        <v>79</v>
      </c>
      <c r="P7" s="12" t="s">
        <v>80</v>
      </c>
      <c r="Q7" s="13"/>
      <c r="R7" s="13" t="s">
        <v>38</v>
      </c>
      <c r="S7" s="12" t="s">
        <v>81</v>
      </c>
      <c r="T7" s="13"/>
      <c r="U7" s="13"/>
      <c r="V7" s="13"/>
      <c r="W7" s="13" t="s">
        <v>72</v>
      </c>
      <c r="X7" s="13" t="s">
        <v>73</v>
      </c>
      <c r="Y7" s="13"/>
      <c r="Z7" s="13"/>
      <c r="AA7" s="14"/>
      <c r="AB7" s="15">
        <v>46111</v>
      </c>
    </row>
    <row r="8" spans="1:28" ht="55.35">
      <c r="A8" s="5" t="s">
        <v>82</v>
      </c>
      <c r="B8" s="16" t="s">
        <v>83</v>
      </c>
      <c r="C8" s="6" t="s">
        <v>30</v>
      </c>
      <c r="D8" s="6" t="s">
        <v>31</v>
      </c>
      <c r="E8" s="7">
        <v>46098</v>
      </c>
      <c r="F8" s="7">
        <v>46111</v>
      </c>
      <c r="G8" s="8">
        <f>IF(OR(E8="",F8=""),"",INT(F8-E8))</f>
        <v>13</v>
      </c>
      <c r="H8" s="6" t="s">
        <v>84</v>
      </c>
      <c r="I8" s="6" t="s">
        <v>46</v>
      </c>
      <c r="J8" s="6">
        <v>1</v>
      </c>
      <c r="K8" s="16" t="s">
        <v>83</v>
      </c>
      <c r="L8" s="10"/>
      <c r="M8" s="10" t="s">
        <v>85</v>
      </c>
      <c r="N8" s="10" t="s">
        <v>49</v>
      </c>
      <c r="O8" s="11" t="s">
        <v>86</v>
      </c>
      <c r="P8" s="12"/>
      <c r="Q8" s="13"/>
      <c r="R8" s="13" t="s">
        <v>38</v>
      </c>
      <c r="S8" s="12" t="s">
        <v>87</v>
      </c>
      <c r="T8" s="13"/>
      <c r="U8" s="13"/>
      <c r="V8" s="13"/>
      <c r="W8" s="13"/>
      <c r="X8" s="13"/>
      <c r="Y8" s="13"/>
      <c r="Z8" s="13"/>
      <c r="AA8" s="14"/>
      <c r="AB8" s="15">
        <v>46111</v>
      </c>
    </row>
    <row r="9" spans="1:28" ht="39.75" customHeight="1">
      <c r="A9" s="5" t="s">
        <v>88</v>
      </c>
      <c r="B9" s="16" t="s">
        <v>89</v>
      </c>
      <c r="C9" s="6" t="s">
        <v>30</v>
      </c>
      <c r="D9" s="6" t="s">
        <v>31</v>
      </c>
      <c r="E9" s="7">
        <v>46105</v>
      </c>
      <c r="F9" s="7">
        <v>46111</v>
      </c>
      <c r="G9" s="8">
        <f>IF(OR(E9="",F9=""),"",INT(F9-E9))</f>
        <v>6</v>
      </c>
      <c r="H9" s="6" t="s">
        <v>90</v>
      </c>
      <c r="I9" s="6" t="s">
        <v>91</v>
      </c>
      <c r="J9" s="6">
        <v>1</v>
      </c>
      <c r="K9" s="6" t="s">
        <v>89</v>
      </c>
      <c r="L9" s="10" t="s">
        <v>77</v>
      </c>
      <c r="M9" s="10" t="s">
        <v>92</v>
      </c>
      <c r="N9" s="10" t="s">
        <v>36</v>
      </c>
      <c r="O9" s="11" t="s">
        <v>93</v>
      </c>
      <c r="P9" s="12"/>
      <c r="Q9" s="13"/>
      <c r="R9" s="13" t="s">
        <v>38</v>
      </c>
      <c r="S9" s="12" t="s">
        <v>94</v>
      </c>
      <c r="T9" s="13"/>
      <c r="U9" s="13"/>
      <c r="V9" s="13"/>
      <c r="W9" s="13" t="s">
        <v>95</v>
      </c>
      <c r="X9" s="13" t="s">
        <v>96</v>
      </c>
      <c r="Y9" s="13"/>
      <c r="Z9" s="13"/>
      <c r="AA9" s="14"/>
      <c r="AB9" s="15">
        <v>46111</v>
      </c>
    </row>
    <row r="10" spans="1:28" ht="39.75" customHeight="1">
      <c r="A10" s="5" t="s">
        <v>97</v>
      </c>
      <c r="B10" s="6" t="s">
        <v>98</v>
      </c>
      <c r="C10" s="6" t="s">
        <v>30</v>
      </c>
      <c r="D10" s="6" t="s">
        <v>31</v>
      </c>
      <c r="E10" s="7">
        <v>46097</v>
      </c>
      <c r="F10" s="7">
        <v>46104</v>
      </c>
      <c r="G10" s="8">
        <f>IF(OR(E10="",F10=""),"",INT(F10-E10))</f>
        <v>7</v>
      </c>
      <c r="H10" s="6" t="s">
        <v>84</v>
      </c>
      <c r="I10" s="6" t="s">
        <v>46</v>
      </c>
      <c r="J10" s="6">
        <v>0</v>
      </c>
      <c r="K10" s="6"/>
      <c r="L10" s="10" t="s">
        <v>99</v>
      </c>
      <c r="M10" s="10" t="s">
        <v>99</v>
      </c>
      <c r="N10" s="10" t="s">
        <v>100</v>
      </c>
      <c r="O10" s="11" t="s">
        <v>101</v>
      </c>
      <c r="P10" s="12"/>
      <c r="Q10" s="13"/>
      <c r="R10" s="13" t="s">
        <v>38</v>
      </c>
      <c r="S10" s="12" t="s">
        <v>102</v>
      </c>
      <c r="T10" s="13"/>
      <c r="U10" s="13"/>
      <c r="V10" s="13"/>
      <c r="W10" s="13"/>
      <c r="X10" s="13"/>
      <c r="Y10" s="13"/>
      <c r="Z10" s="13"/>
      <c r="AA10" s="14"/>
      <c r="AB10" s="15">
        <v>46111</v>
      </c>
    </row>
    <row r="11" spans="1:28" ht="39.75" customHeight="1">
      <c r="A11" s="5" t="s">
        <v>103</v>
      </c>
      <c r="B11" s="6" t="s">
        <v>104</v>
      </c>
      <c r="C11" s="6" t="s">
        <v>30</v>
      </c>
      <c r="D11" s="6" t="s">
        <v>31</v>
      </c>
      <c r="E11" s="7">
        <v>46107</v>
      </c>
      <c r="F11" s="7">
        <v>46107</v>
      </c>
      <c r="G11" s="8">
        <f>IF(OR(E11="",F11=""),"",INT(F11-E11))</f>
        <v>0</v>
      </c>
      <c r="H11" s="6" t="s">
        <v>84</v>
      </c>
      <c r="I11" s="6" t="s">
        <v>46</v>
      </c>
      <c r="J11" s="6">
        <v>0</v>
      </c>
      <c r="K11" s="6"/>
      <c r="L11" s="10" t="s">
        <v>47</v>
      </c>
      <c r="M11" s="10" t="s">
        <v>105</v>
      </c>
      <c r="N11" s="10" t="s">
        <v>49</v>
      </c>
      <c r="O11" s="11" t="s">
        <v>106</v>
      </c>
      <c r="P11" s="12"/>
      <c r="Q11" s="13"/>
      <c r="R11" s="13" t="s">
        <v>38</v>
      </c>
      <c r="S11" s="12" t="s">
        <v>107</v>
      </c>
      <c r="T11" s="13"/>
      <c r="U11" s="13"/>
      <c r="V11" s="13"/>
      <c r="W11" s="13" t="s">
        <v>72</v>
      </c>
      <c r="X11" s="13" t="s">
        <v>73</v>
      </c>
      <c r="Y11" s="13"/>
      <c r="Z11" s="13"/>
      <c r="AA11" s="14"/>
      <c r="AB11" s="15">
        <v>46111</v>
      </c>
    </row>
    <row r="12" spans="1:28" ht="39.75" customHeight="1">
      <c r="A12" s="5" t="s">
        <v>108</v>
      </c>
      <c r="B12" s="6" t="s">
        <v>109</v>
      </c>
      <c r="C12" s="6" t="s">
        <v>30</v>
      </c>
      <c r="D12" s="6" t="s">
        <v>110</v>
      </c>
      <c r="E12" s="7">
        <v>46099</v>
      </c>
      <c r="F12" s="7">
        <v>46101</v>
      </c>
      <c r="G12" s="6">
        <v>2</v>
      </c>
      <c r="H12" s="6" t="s">
        <v>76</v>
      </c>
      <c r="I12" s="6" t="s">
        <v>57</v>
      </c>
      <c r="J12" s="9">
        <v>14</v>
      </c>
      <c r="K12" s="6" t="s">
        <v>109</v>
      </c>
      <c r="L12" s="10" t="s">
        <v>47</v>
      </c>
      <c r="M12" s="10" t="s">
        <v>105</v>
      </c>
      <c r="N12" s="10" t="s">
        <v>111</v>
      </c>
      <c r="O12" s="11" t="s">
        <v>112</v>
      </c>
      <c r="P12" s="12" t="s">
        <v>113</v>
      </c>
      <c r="Q12" s="13" t="s">
        <v>114</v>
      </c>
      <c r="R12" s="13" t="s">
        <v>115</v>
      </c>
      <c r="S12" s="12"/>
      <c r="T12" s="13"/>
      <c r="U12" s="13" t="s">
        <v>116</v>
      </c>
      <c r="V12" s="13" t="s">
        <v>38</v>
      </c>
      <c r="W12" s="13" t="s">
        <v>72</v>
      </c>
      <c r="X12" s="13" t="s">
        <v>73</v>
      </c>
      <c r="Y12" s="13">
        <v>240301</v>
      </c>
      <c r="Z12" s="13" t="s">
        <v>117</v>
      </c>
      <c r="AA12" s="18" t="s">
        <v>38</v>
      </c>
      <c r="AB12" s="15">
        <v>46104</v>
      </c>
    </row>
    <row r="13" spans="1:28" ht="39.75" customHeight="1">
      <c r="A13" s="5" t="s">
        <v>118</v>
      </c>
      <c r="B13" s="6" t="s">
        <v>119</v>
      </c>
      <c r="C13" s="6" t="s">
        <v>30</v>
      </c>
      <c r="D13" s="6" t="s">
        <v>44</v>
      </c>
      <c r="E13" s="7">
        <v>46099</v>
      </c>
      <c r="F13" s="7">
        <v>46104</v>
      </c>
      <c r="G13" s="6">
        <v>5</v>
      </c>
      <c r="H13" s="6" t="s">
        <v>90</v>
      </c>
      <c r="I13" s="6" t="s">
        <v>120</v>
      </c>
      <c r="J13" s="9">
        <v>10</v>
      </c>
      <c r="K13" s="6" t="s">
        <v>119</v>
      </c>
      <c r="L13" s="10" t="s">
        <v>77</v>
      </c>
      <c r="M13" s="10" t="s">
        <v>78</v>
      </c>
      <c r="N13" s="10" t="s">
        <v>121</v>
      </c>
      <c r="O13" s="11" t="s">
        <v>122</v>
      </c>
      <c r="P13" s="12" t="s">
        <v>123</v>
      </c>
      <c r="Q13" s="13" t="s">
        <v>114</v>
      </c>
      <c r="R13" s="13" t="s">
        <v>115</v>
      </c>
      <c r="S13" s="12"/>
      <c r="T13" s="13"/>
      <c r="U13" s="13" t="s">
        <v>124</v>
      </c>
      <c r="V13" s="13" t="s">
        <v>38</v>
      </c>
      <c r="W13" s="13" t="s">
        <v>125</v>
      </c>
      <c r="X13" s="13" t="s">
        <v>126</v>
      </c>
      <c r="Y13" s="13">
        <v>240302</v>
      </c>
      <c r="Z13" s="13" t="s">
        <v>127</v>
      </c>
      <c r="AA13" s="18" t="s">
        <v>38</v>
      </c>
      <c r="AB13" s="15">
        <v>46104</v>
      </c>
    </row>
    <row r="14" spans="1:28" ht="39.75" customHeight="1">
      <c r="A14" s="5" t="s">
        <v>128</v>
      </c>
      <c r="B14" s="6" t="s">
        <v>129</v>
      </c>
      <c r="C14" s="6" t="s">
        <v>30</v>
      </c>
      <c r="D14" s="6" t="s">
        <v>44</v>
      </c>
      <c r="E14" s="7">
        <v>46101</v>
      </c>
      <c r="F14" s="7">
        <v>46104</v>
      </c>
      <c r="G14" s="6">
        <v>3</v>
      </c>
      <c r="H14" s="6" t="s">
        <v>130</v>
      </c>
      <c r="I14" s="6" t="s">
        <v>130</v>
      </c>
      <c r="J14" s="9">
        <v>6</v>
      </c>
      <c r="K14" s="6" t="s">
        <v>129</v>
      </c>
      <c r="L14" s="10" t="s">
        <v>47</v>
      </c>
      <c r="M14" s="10" t="s">
        <v>105</v>
      </c>
      <c r="N14" s="10" t="s">
        <v>111</v>
      </c>
      <c r="O14" s="11" t="s">
        <v>131</v>
      </c>
      <c r="P14" s="12" t="s">
        <v>132</v>
      </c>
      <c r="Q14" s="13" t="s">
        <v>114</v>
      </c>
      <c r="R14" s="13" t="s">
        <v>115</v>
      </c>
      <c r="S14" s="12"/>
      <c r="T14" s="13"/>
      <c r="U14" s="13" t="s">
        <v>133</v>
      </c>
      <c r="V14" s="13" t="s">
        <v>38</v>
      </c>
      <c r="W14" s="13"/>
      <c r="X14" s="13"/>
      <c r="Y14" s="13"/>
      <c r="Z14" s="13" t="s">
        <v>134</v>
      </c>
      <c r="AA14" s="18" t="s">
        <v>38</v>
      </c>
      <c r="AB14" s="15">
        <v>46104</v>
      </c>
    </row>
    <row r="15" spans="1:28" ht="39.75" customHeight="1">
      <c r="A15" s="5" t="s">
        <v>135</v>
      </c>
      <c r="B15" s="6" t="s">
        <v>136</v>
      </c>
      <c r="C15" s="6" t="s">
        <v>30</v>
      </c>
      <c r="D15" s="6" t="s">
        <v>44</v>
      </c>
      <c r="E15" s="7">
        <v>46094</v>
      </c>
      <c r="F15" s="7">
        <v>46098</v>
      </c>
      <c r="G15" s="6">
        <v>4</v>
      </c>
      <c r="H15" s="6" t="s">
        <v>137</v>
      </c>
      <c r="I15" s="6" t="s">
        <v>137</v>
      </c>
      <c r="J15" s="9">
        <v>5</v>
      </c>
      <c r="K15" s="6" t="s">
        <v>136</v>
      </c>
      <c r="L15" s="10" t="s">
        <v>77</v>
      </c>
      <c r="M15" s="10" t="s">
        <v>92</v>
      </c>
      <c r="N15" s="10" t="s">
        <v>138</v>
      </c>
      <c r="O15" s="11" t="s">
        <v>139</v>
      </c>
      <c r="P15" s="12" t="s">
        <v>140</v>
      </c>
      <c r="Q15" s="13" t="s">
        <v>114</v>
      </c>
      <c r="R15" s="13" t="s">
        <v>38</v>
      </c>
      <c r="S15" s="12" t="s">
        <v>141</v>
      </c>
      <c r="T15" s="13" t="s">
        <v>142</v>
      </c>
      <c r="U15" s="13" t="s">
        <v>143</v>
      </c>
      <c r="V15" s="13" t="s">
        <v>38</v>
      </c>
      <c r="W15" s="13" t="s">
        <v>95</v>
      </c>
      <c r="X15" s="13" t="s">
        <v>96</v>
      </c>
      <c r="Y15" s="13"/>
      <c r="Z15" s="13" t="s">
        <v>144</v>
      </c>
      <c r="AA15" s="18" t="s">
        <v>38</v>
      </c>
      <c r="AB15" s="15">
        <v>46104</v>
      </c>
    </row>
    <row r="16" spans="1:28" ht="39.75" customHeight="1">
      <c r="A16" s="5" t="s">
        <v>145</v>
      </c>
      <c r="B16" s="6" t="s">
        <v>146</v>
      </c>
      <c r="C16" s="6" t="s">
        <v>30</v>
      </c>
      <c r="D16" s="6" t="s">
        <v>31</v>
      </c>
      <c r="E16" s="7">
        <v>46086</v>
      </c>
      <c r="F16" s="7">
        <v>46101</v>
      </c>
      <c r="G16" s="6">
        <v>15</v>
      </c>
      <c r="H16" s="6" t="s">
        <v>147</v>
      </c>
      <c r="I16" s="6" t="s">
        <v>148</v>
      </c>
      <c r="J16" s="9">
        <v>5</v>
      </c>
      <c r="K16" s="6" t="s">
        <v>146</v>
      </c>
      <c r="L16" s="10" t="s">
        <v>34</v>
      </c>
      <c r="M16" s="10" t="s">
        <v>35</v>
      </c>
      <c r="N16" s="10" t="s">
        <v>149</v>
      </c>
      <c r="O16" s="11" t="s">
        <v>150</v>
      </c>
      <c r="P16" s="12" t="s">
        <v>151</v>
      </c>
      <c r="Q16" s="13" t="s">
        <v>114</v>
      </c>
      <c r="R16" s="13" t="s">
        <v>38</v>
      </c>
      <c r="S16" s="12" t="s">
        <v>152</v>
      </c>
      <c r="T16" s="13" t="s">
        <v>142</v>
      </c>
      <c r="U16" s="13" t="s">
        <v>153</v>
      </c>
      <c r="V16" s="13" t="s">
        <v>38</v>
      </c>
      <c r="W16" s="13" t="s">
        <v>40</v>
      </c>
      <c r="X16" s="13" t="s">
        <v>41</v>
      </c>
      <c r="Y16" s="13"/>
      <c r="Z16" s="13" t="s">
        <v>154</v>
      </c>
      <c r="AA16" s="18" t="s">
        <v>38</v>
      </c>
      <c r="AB16" s="15">
        <v>46104</v>
      </c>
    </row>
    <row r="17" spans="1:28" ht="39.75" customHeight="1">
      <c r="A17" s="5" t="s">
        <v>155</v>
      </c>
      <c r="B17" s="6" t="s">
        <v>156</v>
      </c>
      <c r="C17" s="6" t="s">
        <v>30</v>
      </c>
      <c r="D17" s="6" t="s">
        <v>31</v>
      </c>
      <c r="E17" s="7">
        <v>46100</v>
      </c>
      <c r="F17" s="7">
        <v>46100</v>
      </c>
      <c r="G17" s="6">
        <v>0</v>
      </c>
      <c r="H17" s="6" t="s">
        <v>157</v>
      </c>
      <c r="I17" s="6" t="s">
        <v>157</v>
      </c>
      <c r="J17" s="6">
        <v>2</v>
      </c>
      <c r="K17" s="6" t="s">
        <v>156</v>
      </c>
      <c r="L17" s="10" t="s">
        <v>34</v>
      </c>
      <c r="M17" s="10" t="s">
        <v>158</v>
      </c>
      <c r="N17" s="10" t="s">
        <v>111</v>
      </c>
      <c r="O17" s="11" t="s">
        <v>159</v>
      </c>
      <c r="P17" s="12" t="s">
        <v>160</v>
      </c>
      <c r="Q17" s="13" t="s">
        <v>114</v>
      </c>
      <c r="R17" s="13"/>
      <c r="S17" s="12"/>
      <c r="T17" s="13"/>
      <c r="U17" s="13"/>
      <c r="V17" s="13" t="s">
        <v>38</v>
      </c>
      <c r="W17" s="13" t="s">
        <v>161</v>
      </c>
      <c r="X17" s="13" t="s">
        <v>162</v>
      </c>
      <c r="Y17" s="13"/>
      <c r="Z17" s="13" t="s">
        <v>163</v>
      </c>
      <c r="AA17" s="18" t="s">
        <v>38</v>
      </c>
      <c r="AB17" s="15">
        <v>46104</v>
      </c>
    </row>
    <row r="18" spans="1:28" ht="39.75" customHeight="1">
      <c r="A18" s="5" t="s">
        <v>164</v>
      </c>
      <c r="B18" s="6" t="s">
        <v>165</v>
      </c>
      <c r="C18" s="6" t="s">
        <v>30</v>
      </c>
      <c r="D18" s="6" t="s">
        <v>31</v>
      </c>
      <c r="E18" s="7">
        <v>46098</v>
      </c>
      <c r="F18" s="7">
        <v>46099</v>
      </c>
      <c r="G18" s="6">
        <v>1</v>
      </c>
      <c r="H18" s="6" t="s">
        <v>45</v>
      </c>
      <c r="I18" s="6"/>
      <c r="J18" s="6">
        <v>1</v>
      </c>
      <c r="K18" s="6" t="s">
        <v>165</v>
      </c>
      <c r="L18" s="10"/>
      <c r="M18" s="10"/>
      <c r="N18" s="10" t="s">
        <v>49</v>
      </c>
      <c r="O18" s="11" t="s">
        <v>166</v>
      </c>
      <c r="P18" s="12" t="s">
        <v>167</v>
      </c>
      <c r="Q18" s="13"/>
      <c r="R18" s="13" t="s">
        <v>115</v>
      </c>
      <c r="S18" s="12"/>
      <c r="T18" s="13"/>
      <c r="U18" s="13"/>
      <c r="V18" s="13" t="s">
        <v>38</v>
      </c>
      <c r="W18" s="13"/>
      <c r="X18" s="13"/>
      <c r="Y18" s="13"/>
      <c r="Z18" s="13" t="s">
        <v>168</v>
      </c>
      <c r="AA18" s="18" t="s">
        <v>38</v>
      </c>
      <c r="AB18" s="15">
        <v>46104</v>
      </c>
    </row>
    <row r="19" spans="1:28" ht="39.75" customHeight="1">
      <c r="A19" s="5" t="s">
        <v>169</v>
      </c>
      <c r="B19" s="6" t="s">
        <v>170</v>
      </c>
      <c r="C19" s="6" t="s">
        <v>30</v>
      </c>
      <c r="D19" s="6" t="s">
        <v>31</v>
      </c>
      <c r="E19" s="7">
        <v>46086</v>
      </c>
      <c r="F19" s="7">
        <v>46101</v>
      </c>
      <c r="G19" s="6">
        <v>15</v>
      </c>
      <c r="H19" s="6" t="s">
        <v>56</v>
      </c>
      <c r="I19" s="6"/>
      <c r="J19" s="6">
        <v>1</v>
      </c>
      <c r="K19" s="6" t="s">
        <v>170</v>
      </c>
      <c r="L19" s="10" t="s">
        <v>34</v>
      </c>
      <c r="M19" s="10" t="s">
        <v>35</v>
      </c>
      <c r="N19" s="10" t="s">
        <v>149</v>
      </c>
      <c r="O19" s="11" t="s">
        <v>171</v>
      </c>
      <c r="P19" s="12" t="s">
        <v>172</v>
      </c>
      <c r="Q19" s="13" t="s">
        <v>149</v>
      </c>
      <c r="R19" s="13" t="s">
        <v>38</v>
      </c>
      <c r="S19" s="12" t="s">
        <v>173</v>
      </c>
      <c r="T19" s="13" t="s">
        <v>174</v>
      </c>
      <c r="U19" s="13" t="s">
        <v>175</v>
      </c>
      <c r="V19" s="13" t="s">
        <v>38</v>
      </c>
      <c r="W19" s="13"/>
      <c r="X19" s="13"/>
      <c r="Y19" s="13" t="s">
        <v>176</v>
      </c>
      <c r="Z19" s="13"/>
      <c r="AA19" s="18" t="s">
        <v>38</v>
      </c>
      <c r="AB19" s="15">
        <v>46104</v>
      </c>
    </row>
    <row r="20" spans="1:28" ht="39.75" customHeight="1">
      <c r="A20" s="5" t="s">
        <v>177</v>
      </c>
      <c r="B20" s="6" t="s">
        <v>178</v>
      </c>
      <c r="C20" s="6" t="s">
        <v>30</v>
      </c>
      <c r="D20" s="6" t="s">
        <v>31</v>
      </c>
      <c r="E20" s="7">
        <v>46094</v>
      </c>
      <c r="F20" s="7">
        <v>46104</v>
      </c>
      <c r="G20" s="6">
        <v>10</v>
      </c>
      <c r="H20" s="6" t="s">
        <v>32</v>
      </c>
      <c r="I20" s="6" t="s">
        <v>148</v>
      </c>
      <c r="J20" s="6">
        <v>1</v>
      </c>
      <c r="K20" s="6"/>
      <c r="L20" s="10" t="s">
        <v>34</v>
      </c>
      <c r="M20" s="10" t="s">
        <v>35</v>
      </c>
      <c r="N20" s="10" t="s">
        <v>111</v>
      </c>
      <c r="O20" s="11" t="s">
        <v>179</v>
      </c>
      <c r="P20" s="12" t="s">
        <v>180</v>
      </c>
      <c r="Q20" s="13" t="s">
        <v>114</v>
      </c>
      <c r="R20" s="13" t="s">
        <v>38</v>
      </c>
      <c r="S20" s="12" t="s">
        <v>181</v>
      </c>
      <c r="T20" s="13"/>
      <c r="U20" s="13"/>
      <c r="V20" s="13"/>
      <c r="W20" s="13" t="s">
        <v>40</v>
      </c>
      <c r="X20" s="13" t="s">
        <v>41</v>
      </c>
      <c r="Y20" s="13"/>
      <c r="Z20" s="13"/>
      <c r="AA20" s="18" t="s">
        <v>38</v>
      </c>
      <c r="AB20" s="15">
        <v>46104</v>
      </c>
    </row>
    <row r="21" spans="1:28" ht="39.75" customHeight="1">
      <c r="A21" s="5" t="s">
        <v>182</v>
      </c>
      <c r="B21" s="6" t="s">
        <v>183</v>
      </c>
      <c r="C21" s="6" t="s">
        <v>30</v>
      </c>
      <c r="D21" s="6" t="s">
        <v>44</v>
      </c>
      <c r="E21" s="7">
        <v>46093</v>
      </c>
      <c r="F21" s="7">
        <v>46098</v>
      </c>
      <c r="G21" s="6">
        <v>5</v>
      </c>
      <c r="H21" s="6" t="s">
        <v>147</v>
      </c>
      <c r="I21" s="6" t="s">
        <v>57</v>
      </c>
      <c r="J21" s="9">
        <v>27</v>
      </c>
      <c r="K21" s="6" t="s">
        <v>183</v>
      </c>
      <c r="L21" s="10" t="s">
        <v>34</v>
      </c>
      <c r="M21" s="10" t="s">
        <v>35</v>
      </c>
      <c r="N21" s="10" t="s">
        <v>111</v>
      </c>
      <c r="O21" s="11" t="s">
        <v>184</v>
      </c>
      <c r="P21" s="12" t="s">
        <v>185</v>
      </c>
      <c r="Q21" s="13" t="s">
        <v>114</v>
      </c>
      <c r="R21" s="13" t="s">
        <v>115</v>
      </c>
      <c r="S21" s="12"/>
      <c r="T21" s="13" t="s">
        <v>186</v>
      </c>
      <c r="U21" s="13" t="s">
        <v>187</v>
      </c>
      <c r="V21" s="13" t="s">
        <v>38</v>
      </c>
      <c r="W21" s="13" t="s">
        <v>40</v>
      </c>
      <c r="X21" s="13" t="s">
        <v>41</v>
      </c>
      <c r="Y21" s="13" t="s">
        <v>188</v>
      </c>
      <c r="Z21" s="13" t="s">
        <v>189</v>
      </c>
      <c r="AA21" s="18" t="s">
        <v>38</v>
      </c>
      <c r="AB21" s="15">
        <v>46098</v>
      </c>
    </row>
    <row r="22" spans="1:28" ht="39.75" customHeight="1">
      <c r="A22" s="5" t="s">
        <v>190</v>
      </c>
      <c r="B22" s="6" t="s">
        <v>191</v>
      </c>
      <c r="C22" s="6" t="s">
        <v>30</v>
      </c>
      <c r="D22" s="6" t="s">
        <v>44</v>
      </c>
      <c r="E22" s="7">
        <v>46081</v>
      </c>
      <c r="F22" s="7">
        <v>46098</v>
      </c>
      <c r="G22" s="6">
        <v>17</v>
      </c>
      <c r="H22" s="6" t="s">
        <v>56</v>
      </c>
      <c r="I22" s="6" t="s">
        <v>148</v>
      </c>
      <c r="J22" s="9">
        <v>9</v>
      </c>
      <c r="K22" s="6" t="s">
        <v>191</v>
      </c>
      <c r="L22" s="10" t="s">
        <v>34</v>
      </c>
      <c r="M22" s="10" t="s">
        <v>35</v>
      </c>
      <c r="N22" s="10" t="s">
        <v>149</v>
      </c>
      <c r="O22" s="11" t="s">
        <v>192</v>
      </c>
      <c r="P22" s="12" t="s">
        <v>193</v>
      </c>
      <c r="Q22" s="13" t="s">
        <v>149</v>
      </c>
      <c r="R22" s="13" t="s">
        <v>38</v>
      </c>
      <c r="S22" s="12" t="s">
        <v>194</v>
      </c>
      <c r="T22" s="13" t="s">
        <v>174</v>
      </c>
      <c r="U22" s="13" t="s">
        <v>194</v>
      </c>
      <c r="V22" s="13" t="s">
        <v>115</v>
      </c>
      <c r="W22" s="13" t="s">
        <v>40</v>
      </c>
      <c r="X22" s="13" t="s">
        <v>41</v>
      </c>
      <c r="Y22" s="13" t="s">
        <v>176</v>
      </c>
      <c r="Z22" s="13" t="s">
        <v>195</v>
      </c>
      <c r="AA22" s="18" t="s">
        <v>38</v>
      </c>
      <c r="AB22" s="15">
        <v>46098</v>
      </c>
    </row>
    <row r="23" spans="1:28" ht="39.75" customHeight="1">
      <c r="A23" s="5" t="s">
        <v>196</v>
      </c>
      <c r="B23" s="6" t="s">
        <v>197</v>
      </c>
      <c r="C23" s="6" t="s">
        <v>30</v>
      </c>
      <c r="D23" s="6" t="s">
        <v>110</v>
      </c>
      <c r="E23" s="7">
        <v>46063</v>
      </c>
      <c r="F23" s="7">
        <v>46098</v>
      </c>
      <c r="G23" s="6">
        <v>35</v>
      </c>
      <c r="H23" s="6" t="s">
        <v>198</v>
      </c>
      <c r="I23" s="6" t="s">
        <v>148</v>
      </c>
      <c r="J23" s="9">
        <v>7</v>
      </c>
      <c r="K23" s="6" t="s">
        <v>197</v>
      </c>
      <c r="L23" s="10" t="s">
        <v>34</v>
      </c>
      <c r="M23" s="10" t="s">
        <v>199</v>
      </c>
      <c r="N23" s="10" t="s">
        <v>111</v>
      </c>
      <c r="O23" s="11" t="s">
        <v>200</v>
      </c>
      <c r="P23" s="12" t="s">
        <v>201</v>
      </c>
      <c r="Q23" s="13" t="s">
        <v>114</v>
      </c>
      <c r="R23" s="13" t="s">
        <v>38</v>
      </c>
      <c r="S23" s="12" t="s">
        <v>202</v>
      </c>
      <c r="T23" s="13" t="s">
        <v>186</v>
      </c>
      <c r="U23" s="13" t="s">
        <v>203</v>
      </c>
      <c r="V23" s="13" t="s">
        <v>38</v>
      </c>
      <c r="W23" s="13" t="s">
        <v>40</v>
      </c>
      <c r="X23" s="13" t="s">
        <v>204</v>
      </c>
      <c r="Y23" s="13"/>
      <c r="Z23" s="13" t="s">
        <v>205</v>
      </c>
      <c r="AA23" s="18" t="s">
        <v>38</v>
      </c>
      <c r="AB23" s="15">
        <v>46098</v>
      </c>
    </row>
    <row r="24" spans="1:28" ht="39.75" customHeight="1">
      <c r="A24" s="5" t="s">
        <v>206</v>
      </c>
      <c r="B24" s="6" t="s">
        <v>207</v>
      </c>
      <c r="C24" s="6" t="s">
        <v>30</v>
      </c>
      <c r="D24" s="6" t="s">
        <v>31</v>
      </c>
      <c r="E24" s="7">
        <v>46083</v>
      </c>
      <c r="F24" s="7">
        <v>46098</v>
      </c>
      <c r="G24" s="6">
        <v>15</v>
      </c>
      <c r="H24" s="6" t="s">
        <v>198</v>
      </c>
      <c r="I24" s="6" t="s">
        <v>148</v>
      </c>
      <c r="J24" s="6">
        <v>2</v>
      </c>
      <c r="K24" s="6" t="s">
        <v>207</v>
      </c>
      <c r="L24" s="10" t="s">
        <v>34</v>
      </c>
      <c r="M24" s="10" t="s">
        <v>35</v>
      </c>
      <c r="N24" s="10" t="s">
        <v>111</v>
      </c>
      <c r="O24" s="11" t="s">
        <v>208</v>
      </c>
      <c r="P24" s="12"/>
      <c r="Q24" s="13" t="s">
        <v>114</v>
      </c>
      <c r="R24" s="13" t="s">
        <v>115</v>
      </c>
      <c r="S24" s="12"/>
      <c r="T24" s="13" t="s">
        <v>186</v>
      </c>
      <c r="U24" s="13" t="s">
        <v>209</v>
      </c>
      <c r="V24" s="13" t="s">
        <v>38</v>
      </c>
      <c r="W24" s="13" t="s">
        <v>40</v>
      </c>
      <c r="X24" s="13" t="s">
        <v>41</v>
      </c>
      <c r="Y24" s="13"/>
      <c r="Z24" s="13" t="s">
        <v>210</v>
      </c>
      <c r="AA24" s="18" t="s">
        <v>38</v>
      </c>
      <c r="AB24" s="15">
        <v>46098</v>
      </c>
    </row>
    <row r="25" spans="1:28" ht="39.75" customHeight="1">
      <c r="A25" s="5" t="s">
        <v>211</v>
      </c>
      <c r="B25" s="6" t="s">
        <v>212</v>
      </c>
      <c r="C25" s="6" t="s">
        <v>30</v>
      </c>
      <c r="D25" s="6" t="s">
        <v>31</v>
      </c>
      <c r="E25" s="7">
        <v>46086</v>
      </c>
      <c r="F25" s="7">
        <v>46098</v>
      </c>
      <c r="G25" s="8">
        <f>IF(OR(E25="",F25=""),"",INT(F25-E25))</f>
        <v>12</v>
      </c>
      <c r="H25" s="6" t="s">
        <v>213</v>
      </c>
      <c r="I25" s="6" t="s">
        <v>148</v>
      </c>
      <c r="J25" s="6">
        <v>1</v>
      </c>
      <c r="K25" s="6" t="s">
        <v>212</v>
      </c>
      <c r="L25" s="10" t="s">
        <v>47</v>
      </c>
      <c r="M25" s="10" t="s">
        <v>105</v>
      </c>
      <c r="N25" s="10" t="s">
        <v>49</v>
      </c>
      <c r="O25" s="11" t="s">
        <v>214</v>
      </c>
      <c r="P25" s="12"/>
      <c r="Q25" s="13"/>
      <c r="R25" s="13" t="s">
        <v>38</v>
      </c>
      <c r="S25" s="12" t="s">
        <v>215</v>
      </c>
      <c r="T25" s="13"/>
      <c r="U25" s="13"/>
      <c r="V25" s="13"/>
      <c r="W25" s="13" t="s">
        <v>72</v>
      </c>
      <c r="X25" s="13" t="s">
        <v>73</v>
      </c>
      <c r="Y25" s="13"/>
      <c r="Z25" s="13"/>
      <c r="AA25" s="14"/>
      <c r="AB25" s="15">
        <v>46098</v>
      </c>
    </row>
    <row r="26" spans="1:28" ht="39.75" customHeight="1">
      <c r="A26" s="5" t="s">
        <v>216</v>
      </c>
      <c r="B26" s="6" t="s">
        <v>217</v>
      </c>
      <c r="C26" s="6" t="s">
        <v>30</v>
      </c>
      <c r="D26" s="6" t="s">
        <v>31</v>
      </c>
      <c r="E26" s="7">
        <v>46092</v>
      </c>
      <c r="F26" s="7">
        <v>46098</v>
      </c>
      <c r="G26" s="6">
        <v>6</v>
      </c>
      <c r="H26" s="6" t="s">
        <v>147</v>
      </c>
      <c r="I26" s="6" t="s">
        <v>148</v>
      </c>
      <c r="J26" s="6">
        <v>1</v>
      </c>
      <c r="K26" s="6" t="s">
        <v>217</v>
      </c>
      <c r="L26" s="10" t="s">
        <v>34</v>
      </c>
      <c r="M26" s="10" t="s">
        <v>35</v>
      </c>
      <c r="N26" s="10" t="s">
        <v>111</v>
      </c>
      <c r="O26" s="11" t="s">
        <v>218</v>
      </c>
      <c r="P26" s="12" t="s">
        <v>219</v>
      </c>
      <c r="Q26" s="13" t="s">
        <v>114</v>
      </c>
      <c r="R26" s="13" t="s">
        <v>115</v>
      </c>
      <c r="S26" s="12"/>
      <c r="T26" s="13" t="s">
        <v>186</v>
      </c>
      <c r="U26" s="13" t="s">
        <v>220</v>
      </c>
      <c r="V26" s="13" t="s">
        <v>38</v>
      </c>
      <c r="W26" s="13" t="s">
        <v>40</v>
      </c>
      <c r="X26" s="13" t="s">
        <v>41</v>
      </c>
      <c r="Y26" s="13" t="s">
        <v>221</v>
      </c>
      <c r="Z26" s="13" t="s">
        <v>222</v>
      </c>
      <c r="AA26" s="18" t="s">
        <v>38</v>
      </c>
      <c r="AB26" s="15">
        <v>46098</v>
      </c>
    </row>
    <row r="27" spans="1:28" ht="39.75" customHeight="1">
      <c r="A27" s="5" t="s">
        <v>223</v>
      </c>
      <c r="B27" s="6" t="s">
        <v>224</v>
      </c>
      <c r="C27" s="6" t="s">
        <v>30</v>
      </c>
      <c r="D27" s="6" t="s">
        <v>31</v>
      </c>
      <c r="E27" s="7">
        <v>46087</v>
      </c>
      <c r="F27" s="7">
        <v>46098</v>
      </c>
      <c r="G27" s="6">
        <v>11</v>
      </c>
      <c r="H27" s="6" t="s">
        <v>198</v>
      </c>
      <c r="I27" s="6"/>
      <c r="J27" s="6">
        <v>1</v>
      </c>
      <c r="K27" s="6" t="s">
        <v>224</v>
      </c>
      <c r="L27" s="10" t="s">
        <v>34</v>
      </c>
      <c r="M27" s="10" t="s">
        <v>225</v>
      </c>
      <c r="N27" s="10" t="s">
        <v>36</v>
      </c>
      <c r="O27" s="11" t="s">
        <v>226</v>
      </c>
      <c r="P27" s="12" t="s">
        <v>227</v>
      </c>
      <c r="Q27" s="13" t="s">
        <v>49</v>
      </c>
      <c r="R27" s="13" t="s">
        <v>115</v>
      </c>
      <c r="S27" s="12"/>
      <c r="T27" s="13" t="s">
        <v>186</v>
      </c>
      <c r="U27" s="13"/>
      <c r="V27" s="13"/>
      <c r="W27" s="13" t="s">
        <v>40</v>
      </c>
      <c r="X27" s="13" t="s">
        <v>41</v>
      </c>
      <c r="Y27" s="13" t="s">
        <v>228</v>
      </c>
      <c r="Z27" s="13" t="s">
        <v>229</v>
      </c>
      <c r="AA27" s="18" t="s">
        <v>38</v>
      </c>
      <c r="AB27" s="15">
        <v>46098</v>
      </c>
    </row>
    <row r="28" spans="1:28" ht="39.75" customHeight="1">
      <c r="A28" s="5" t="s">
        <v>230</v>
      </c>
      <c r="B28" s="6" t="s">
        <v>231</v>
      </c>
      <c r="C28" s="6" t="s">
        <v>30</v>
      </c>
      <c r="D28" s="6" t="s">
        <v>31</v>
      </c>
      <c r="E28" s="7">
        <v>46086</v>
      </c>
      <c r="F28" s="7">
        <v>46098</v>
      </c>
      <c r="G28" s="6">
        <v>12</v>
      </c>
      <c r="H28" s="6" t="s">
        <v>147</v>
      </c>
      <c r="I28" s="6" t="s">
        <v>148</v>
      </c>
      <c r="J28" s="6">
        <v>1</v>
      </c>
      <c r="K28" s="6" t="s">
        <v>231</v>
      </c>
      <c r="L28" s="10" t="s">
        <v>34</v>
      </c>
      <c r="M28" s="10" t="s">
        <v>35</v>
      </c>
      <c r="N28" s="10" t="s">
        <v>111</v>
      </c>
      <c r="O28" s="11" t="s">
        <v>232</v>
      </c>
      <c r="P28" s="12" t="s">
        <v>233</v>
      </c>
      <c r="Q28" s="13" t="s">
        <v>114</v>
      </c>
      <c r="R28" s="13" t="s">
        <v>115</v>
      </c>
      <c r="S28" s="12"/>
      <c r="T28" s="13" t="s">
        <v>186</v>
      </c>
      <c r="U28" s="13" t="s">
        <v>234</v>
      </c>
      <c r="V28" s="13" t="s">
        <v>38</v>
      </c>
      <c r="W28" s="13" t="s">
        <v>40</v>
      </c>
      <c r="X28" s="13" t="s">
        <v>41</v>
      </c>
      <c r="Y28" s="13" t="s">
        <v>235</v>
      </c>
      <c r="Z28" s="13" t="s">
        <v>236</v>
      </c>
      <c r="AA28" s="18" t="s">
        <v>38</v>
      </c>
      <c r="AB28" s="15">
        <v>46098</v>
      </c>
    </row>
    <row r="29" spans="1:28" ht="39.75" customHeight="1">
      <c r="A29" s="5" t="s">
        <v>237</v>
      </c>
      <c r="B29" s="6" t="s">
        <v>238</v>
      </c>
      <c r="C29" s="6" t="s">
        <v>30</v>
      </c>
      <c r="D29" s="6" t="s">
        <v>31</v>
      </c>
      <c r="E29" s="7">
        <v>46094</v>
      </c>
      <c r="F29" s="7">
        <v>46097</v>
      </c>
      <c r="G29" s="8">
        <f>IF(OR(E29="",F29=""),"",INT(F29-E29))</f>
        <v>3</v>
      </c>
      <c r="H29" s="6" t="s">
        <v>84</v>
      </c>
      <c r="I29" s="6"/>
      <c r="J29" s="6">
        <v>1</v>
      </c>
      <c r="K29" s="6" t="s">
        <v>238</v>
      </c>
      <c r="L29" s="10" t="s">
        <v>47</v>
      </c>
      <c r="M29" s="10" t="s">
        <v>48</v>
      </c>
      <c r="N29" s="10" t="s">
        <v>49</v>
      </c>
      <c r="O29" s="11" t="s">
        <v>239</v>
      </c>
      <c r="P29" s="12"/>
      <c r="Q29" s="13"/>
      <c r="R29" s="13" t="s">
        <v>38</v>
      </c>
      <c r="S29" s="12" t="s">
        <v>240</v>
      </c>
      <c r="T29" s="13"/>
      <c r="U29" s="13"/>
      <c r="V29" s="13"/>
      <c r="W29" s="13" t="s">
        <v>52</v>
      </c>
      <c r="X29" s="13" t="s">
        <v>53</v>
      </c>
      <c r="Y29" s="13"/>
      <c r="Z29" s="13"/>
      <c r="AA29" s="14"/>
      <c r="AB29" s="15">
        <v>46097</v>
      </c>
    </row>
    <row r="30" spans="1:28" ht="39.75" customHeight="1">
      <c r="A30" s="5" t="s">
        <v>241</v>
      </c>
      <c r="B30" s="6" t="s">
        <v>242</v>
      </c>
      <c r="C30" s="6" t="s">
        <v>30</v>
      </c>
      <c r="D30" s="6" t="s">
        <v>31</v>
      </c>
      <c r="E30" s="7">
        <v>46084</v>
      </c>
      <c r="F30" s="7">
        <v>46092</v>
      </c>
      <c r="G30" s="6">
        <v>8</v>
      </c>
      <c r="H30" s="6" t="s">
        <v>32</v>
      </c>
      <c r="I30" s="6" t="s">
        <v>33</v>
      </c>
      <c r="J30" s="9">
        <v>9</v>
      </c>
      <c r="K30" s="6" t="s">
        <v>242</v>
      </c>
      <c r="L30" s="10" t="s">
        <v>34</v>
      </c>
      <c r="M30" s="10" t="s">
        <v>35</v>
      </c>
      <c r="N30" s="10" t="s">
        <v>111</v>
      </c>
      <c r="O30" s="11" t="s">
        <v>243</v>
      </c>
      <c r="P30" s="12" t="s">
        <v>244</v>
      </c>
      <c r="Q30" s="13" t="s">
        <v>114</v>
      </c>
      <c r="R30" s="13" t="s">
        <v>38</v>
      </c>
      <c r="S30" s="12" t="s">
        <v>245</v>
      </c>
      <c r="T30" s="13" t="s">
        <v>186</v>
      </c>
      <c r="U30" s="13" t="s">
        <v>246</v>
      </c>
      <c r="V30" s="13" t="s">
        <v>38</v>
      </c>
      <c r="W30" s="13" t="s">
        <v>40</v>
      </c>
      <c r="X30" s="13" t="s">
        <v>41</v>
      </c>
      <c r="Y30" s="13" t="s">
        <v>247</v>
      </c>
      <c r="Z30" s="13" t="s">
        <v>248</v>
      </c>
      <c r="AA30" s="18" t="s">
        <v>38</v>
      </c>
      <c r="AB30" s="15">
        <v>46095</v>
      </c>
    </row>
    <row r="31" spans="1:28" ht="39.75" customHeight="1">
      <c r="A31" s="5" t="s">
        <v>249</v>
      </c>
      <c r="B31" s="6" t="s">
        <v>250</v>
      </c>
      <c r="C31" s="6" t="s">
        <v>30</v>
      </c>
      <c r="D31" s="6" t="s">
        <v>31</v>
      </c>
      <c r="E31" s="7">
        <v>46074</v>
      </c>
      <c r="F31" s="7">
        <v>46094</v>
      </c>
      <c r="G31" s="6">
        <v>20</v>
      </c>
      <c r="H31" s="6" t="s">
        <v>32</v>
      </c>
      <c r="I31" s="6"/>
      <c r="J31" s="17">
        <v>4</v>
      </c>
      <c r="K31" s="6" t="s">
        <v>250</v>
      </c>
      <c r="L31" s="10" t="s">
        <v>34</v>
      </c>
      <c r="M31" s="10" t="s">
        <v>35</v>
      </c>
      <c r="N31" s="10" t="s">
        <v>251</v>
      </c>
      <c r="O31" s="11" t="s">
        <v>252</v>
      </c>
      <c r="P31" s="12" t="s">
        <v>253</v>
      </c>
      <c r="Q31" s="13" t="s">
        <v>149</v>
      </c>
      <c r="R31" s="13" t="s">
        <v>115</v>
      </c>
      <c r="S31" s="12"/>
      <c r="T31" s="13"/>
      <c r="U31" s="13" t="s">
        <v>254</v>
      </c>
      <c r="V31" s="13" t="s">
        <v>115</v>
      </c>
      <c r="W31" s="13" t="s">
        <v>40</v>
      </c>
      <c r="X31" s="13" t="s">
        <v>41</v>
      </c>
      <c r="Y31" s="13"/>
      <c r="Z31" s="13"/>
      <c r="AA31" s="18" t="s">
        <v>38</v>
      </c>
      <c r="AB31" s="15">
        <v>46095</v>
      </c>
    </row>
    <row r="32" spans="1:28" ht="39.75" customHeight="1">
      <c r="A32" s="5" t="s">
        <v>255</v>
      </c>
      <c r="B32" s="6" t="s">
        <v>256</v>
      </c>
      <c r="C32" s="6" t="s">
        <v>30</v>
      </c>
      <c r="D32" s="6" t="s">
        <v>31</v>
      </c>
      <c r="E32" s="7">
        <v>46078</v>
      </c>
      <c r="F32" s="7">
        <v>46092</v>
      </c>
      <c r="G32" s="8">
        <f>IF(OR(E32="",F32=""),"",INT(F32-E32))</f>
        <v>14</v>
      </c>
      <c r="H32" s="6" t="s">
        <v>68</v>
      </c>
      <c r="I32" s="6" t="s">
        <v>46</v>
      </c>
      <c r="J32" s="6">
        <v>1</v>
      </c>
      <c r="K32" s="6"/>
      <c r="L32" s="10" t="s">
        <v>77</v>
      </c>
      <c r="M32" s="10"/>
      <c r="N32" s="10" t="s">
        <v>111</v>
      </c>
      <c r="O32" s="11" t="s">
        <v>257</v>
      </c>
      <c r="P32" s="12"/>
      <c r="Q32" s="13"/>
      <c r="R32" s="13" t="s">
        <v>38</v>
      </c>
      <c r="S32" s="12" t="s">
        <v>258</v>
      </c>
      <c r="T32" s="13"/>
      <c r="U32" s="13"/>
      <c r="V32" s="13"/>
      <c r="W32" s="13"/>
      <c r="X32" s="13"/>
      <c r="Y32" s="13"/>
      <c r="Z32" s="13"/>
      <c r="AA32" s="14" t="s">
        <v>115</v>
      </c>
      <c r="AB32" s="15">
        <v>46095</v>
      </c>
    </row>
    <row r="33" spans="1:28" ht="39.75" customHeight="1">
      <c r="A33" s="5" t="s">
        <v>259</v>
      </c>
      <c r="B33" s="6" t="s">
        <v>260</v>
      </c>
      <c r="C33" s="6" t="s">
        <v>30</v>
      </c>
      <c r="D33" s="6" t="s">
        <v>31</v>
      </c>
      <c r="E33" s="7">
        <v>46093</v>
      </c>
      <c r="F33" s="7">
        <v>46093</v>
      </c>
      <c r="G33" s="8">
        <f>IF(OR(E33="",F33=""),"",INT(F33-E33))</f>
        <v>0</v>
      </c>
      <c r="H33" s="6" t="s">
        <v>76</v>
      </c>
      <c r="I33" s="6" t="s">
        <v>76</v>
      </c>
      <c r="J33" s="6">
        <v>1</v>
      </c>
      <c r="K33" s="6" t="s">
        <v>260</v>
      </c>
      <c r="L33" s="10" t="s">
        <v>47</v>
      </c>
      <c r="M33" s="10" t="s">
        <v>105</v>
      </c>
      <c r="N33" s="10" t="s">
        <v>49</v>
      </c>
      <c r="O33" s="11" t="s">
        <v>261</v>
      </c>
      <c r="P33" s="12"/>
      <c r="Q33" s="13"/>
      <c r="R33" s="13" t="s">
        <v>38</v>
      </c>
      <c r="S33" s="12" t="s">
        <v>262</v>
      </c>
      <c r="T33" s="13"/>
      <c r="U33" s="13"/>
      <c r="V33" s="13"/>
      <c r="W33" s="13" t="s">
        <v>72</v>
      </c>
      <c r="X33" s="13" t="s">
        <v>73</v>
      </c>
      <c r="Y33" s="13"/>
      <c r="Z33" s="13"/>
      <c r="AA33" s="14" t="s">
        <v>115</v>
      </c>
      <c r="AB33" s="15">
        <v>46095</v>
      </c>
    </row>
    <row r="34" spans="1:28" ht="39.75" customHeight="1">
      <c r="A34" s="5" t="s">
        <v>263</v>
      </c>
      <c r="B34" s="6" t="s">
        <v>264</v>
      </c>
      <c r="C34" s="6" t="s">
        <v>30</v>
      </c>
      <c r="D34" s="6" t="s">
        <v>31</v>
      </c>
      <c r="E34" s="7">
        <v>46092</v>
      </c>
      <c r="F34" s="7">
        <v>46092</v>
      </c>
      <c r="G34" s="8">
        <f>IF(OR(E34="",F34=""),"",INT(F34-E34))</f>
        <v>0</v>
      </c>
      <c r="H34" s="6" t="s">
        <v>130</v>
      </c>
      <c r="I34" s="6" t="s">
        <v>130</v>
      </c>
      <c r="J34" s="6">
        <v>1</v>
      </c>
      <c r="K34" s="6" t="s">
        <v>264</v>
      </c>
      <c r="L34" s="10" t="s">
        <v>99</v>
      </c>
      <c r="M34" s="10" t="s">
        <v>99</v>
      </c>
      <c r="N34" s="10" t="s">
        <v>49</v>
      </c>
      <c r="O34" s="11" t="s">
        <v>265</v>
      </c>
      <c r="P34" s="12"/>
      <c r="Q34" s="13"/>
      <c r="R34" s="13" t="s">
        <v>38</v>
      </c>
      <c r="S34" s="12" t="s">
        <v>266</v>
      </c>
      <c r="T34" s="13"/>
      <c r="U34" s="13"/>
      <c r="V34" s="13"/>
      <c r="W34" s="13"/>
      <c r="X34" s="13"/>
      <c r="Y34" s="13"/>
      <c r="Z34" s="13"/>
      <c r="AA34" s="14" t="s">
        <v>115</v>
      </c>
      <c r="AB34" s="15">
        <v>46095</v>
      </c>
    </row>
    <row r="35" spans="1:28" ht="39.75" customHeight="1">
      <c r="A35" s="5" t="s">
        <v>267</v>
      </c>
      <c r="B35" s="6" t="s">
        <v>268</v>
      </c>
      <c r="C35" s="6" t="s">
        <v>30</v>
      </c>
      <c r="D35" s="6" t="s">
        <v>31</v>
      </c>
      <c r="E35" s="7">
        <v>46091</v>
      </c>
      <c r="F35" s="7">
        <v>46092</v>
      </c>
      <c r="G35" s="8">
        <f>IF(OR(E35="",F35=""),"",INT(F35-E35))</f>
        <v>1</v>
      </c>
      <c r="H35" s="6" t="s">
        <v>45</v>
      </c>
      <c r="I35" s="6"/>
      <c r="J35" s="6">
        <v>1</v>
      </c>
      <c r="K35" s="6" t="s">
        <v>268</v>
      </c>
      <c r="L35" s="10" t="s">
        <v>47</v>
      </c>
      <c r="M35" s="10" t="s">
        <v>105</v>
      </c>
      <c r="N35" s="10" t="s">
        <v>111</v>
      </c>
      <c r="O35" s="11" t="s">
        <v>269</v>
      </c>
      <c r="P35" s="12"/>
      <c r="Q35" s="13"/>
      <c r="R35" s="13" t="s">
        <v>38</v>
      </c>
      <c r="S35" s="12" t="s">
        <v>270</v>
      </c>
      <c r="T35" s="13"/>
      <c r="U35" s="13"/>
      <c r="V35" s="13"/>
      <c r="W35" s="13" t="s">
        <v>72</v>
      </c>
      <c r="X35" s="13" t="s">
        <v>73</v>
      </c>
      <c r="Y35" s="13"/>
      <c r="Z35" s="13"/>
      <c r="AA35" s="14" t="s">
        <v>115</v>
      </c>
      <c r="AB35" s="15">
        <v>46095</v>
      </c>
    </row>
    <row r="36" spans="1:28" ht="39.75" customHeight="1">
      <c r="A36" s="5" t="s">
        <v>271</v>
      </c>
      <c r="B36" s="6" t="s">
        <v>272</v>
      </c>
      <c r="C36" s="6" t="s">
        <v>30</v>
      </c>
      <c r="D36" s="6" t="s">
        <v>31</v>
      </c>
      <c r="E36" s="7">
        <v>46085</v>
      </c>
      <c r="F36" s="7">
        <v>46094</v>
      </c>
      <c r="G36" s="8">
        <f>IF(OR(E36="",F36=""),"",INT(F36-E36))</f>
        <v>9</v>
      </c>
      <c r="H36" s="6" t="s">
        <v>76</v>
      </c>
      <c r="I36" s="6" t="s">
        <v>76</v>
      </c>
      <c r="J36" s="6">
        <v>0</v>
      </c>
      <c r="K36" s="6" t="s">
        <v>273</v>
      </c>
      <c r="L36" s="10" t="s">
        <v>99</v>
      </c>
      <c r="M36" s="10" t="s">
        <v>99</v>
      </c>
      <c r="N36" s="10" t="s">
        <v>100</v>
      </c>
      <c r="O36" s="11" t="s">
        <v>274</v>
      </c>
      <c r="P36" s="12"/>
      <c r="Q36" s="13"/>
      <c r="R36" s="13" t="s">
        <v>38</v>
      </c>
      <c r="S36" s="12" t="s">
        <v>275</v>
      </c>
      <c r="T36" s="13"/>
      <c r="U36" s="13"/>
      <c r="V36" s="13"/>
      <c r="W36" s="13"/>
      <c r="X36" s="13"/>
      <c r="Y36" s="13"/>
      <c r="Z36" s="13"/>
      <c r="AA36" s="14" t="s">
        <v>115</v>
      </c>
      <c r="AB36" s="15">
        <v>46095</v>
      </c>
    </row>
    <row r="37" spans="1:28" ht="39.75" customHeight="1">
      <c r="A37" s="5" t="s">
        <v>276</v>
      </c>
      <c r="B37" s="6" t="s">
        <v>277</v>
      </c>
      <c r="C37" s="6" t="s">
        <v>30</v>
      </c>
      <c r="D37" s="6" t="s">
        <v>31</v>
      </c>
      <c r="E37" s="7">
        <v>46091</v>
      </c>
      <c r="F37" s="7">
        <v>46093</v>
      </c>
      <c r="G37" s="8">
        <f>IF(OR(E37="",F37=""),"",INT(F37-E37))</f>
        <v>2</v>
      </c>
      <c r="H37" s="6" t="s">
        <v>68</v>
      </c>
      <c r="I37" s="6" t="s">
        <v>68</v>
      </c>
      <c r="J37" s="6">
        <v>0</v>
      </c>
      <c r="K37" s="6"/>
      <c r="L37" s="10" t="s">
        <v>77</v>
      </c>
      <c r="M37" s="10"/>
      <c r="N37" s="10" t="s">
        <v>49</v>
      </c>
      <c r="O37" s="11" t="s">
        <v>278</v>
      </c>
      <c r="P37" s="12"/>
      <c r="Q37" s="13"/>
      <c r="R37" s="13" t="s">
        <v>38</v>
      </c>
      <c r="S37" s="12" t="s">
        <v>279</v>
      </c>
      <c r="T37" s="13"/>
      <c r="U37" s="13"/>
      <c r="V37" s="13"/>
      <c r="W37" s="13"/>
      <c r="X37" s="13"/>
      <c r="Y37" s="13"/>
      <c r="Z37" s="13"/>
      <c r="AA37" s="14" t="s">
        <v>115</v>
      </c>
      <c r="AB37" s="15">
        <v>46095</v>
      </c>
    </row>
  </sheetData>
  <dataValidations count="3">
    <dataValidation type="list" allowBlank="1" sqref="Q2:Q87" xr:uid="{00000000-0002-0000-0000-000000000000}">
      <formula1>"Código,Banco de Dados,Infraestrutura,Terceiros"</formula1>
      <formula2>0</formula2>
    </dataValidation>
    <dataValidation type="list" allowBlank="1" sqref="R2:R87 V2:V87 AA2:AA87" xr:uid="{00000000-0002-0000-0000-000001000000}">
      <formula1>"Sim,Não"</formula1>
      <formula2>0</formula2>
    </dataValidation>
    <dataValidation type="list" allowBlank="1" sqref="T2:T87" xr:uid="{00000000-0002-0000-0000-000002000000}">
      <formula1>"Detectou problema,Não detectou,Não se Aplica"</formula1>
      <formula2>0</formula2>
    </dataValidation>
  </dataValidations>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14" r:id="rId13" xr:uid="{00000000-0004-0000-0000-00000C000000}"/>
    <hyperlink ref="A15" r:id="rId14" xr:uid="{00000000-0004-0000-0000-00000D000000}"/>
    <hyperlink ref="A16" r:id="rId15" xr:uid="{00000000-0004-0000-0000-00000E000000}"/>
    <hyperlink ref="A17" r:id="rId16" xr:uid="{00000000-0004-0000-0000-00000F000000}"/>
    <hyperlink ref="A18" r:id="rId17" xr:uid="{00000000-0004-0000-0000-000010000000}"/>
    <hyperlink ref="A19" r:id="rId18" xr:uid="{00000000-0004-0000-0000-000011000000}"/>
    <hyperlink ref="A20" r:id="rId19" xr:uid="{00000000-0004-0000-0000-000012000000}"/>
    <hyperlink ref="A21" r:id="rId20" xr:uid="{00000000-0004-0000-0000-000013000000}"/>
    <hyperlink ref="A22" r:id="rId21" xr:uid="{00000000-0004-0000-0000-000014000000}"/>
    <hyperlink ref="A23" r:id="rId22" xr:uid="{00000000-0004-0000-0000-000015000000}"/>
    <hyperlink ref="A24" r:id="rId23" xr:uid="{00000000-0004-0000-0000-000016000000}"/>
    <hyperlink ref="A25" r:id="rId24" xr:uid="{00000000-0004-0000-0000-000017000000}"/>
    <hyperlink ref="A26" r:id="rId25" xr:uid="{00000000-0004-0000-0000-000018000000}"/>
    <hyperlink ref="A27" r:id="rId26" xr:uid="{00000000-0004-0000-0000-000019000000}"/>
    <hyperlink ref="A28" r:id="rId27" xr:uid="{00000000-0004-0000-0000-00001A000000}"/>
  </hyperlinks>
  <pageMargins left="0.75" right="0.75" top="1" bottom="1" header="0.511811023622047" footer="0.511811023622047"/>
  <pageSetup paperSize="9" orientation="portrait" horizontalDpi="300" verticalDpi="300"/>
  <tableParts count="1">
    <tablePart r:id="rId2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1"/>
  <sheetViews>
    <sheetView zoomScaleNormal="100" workbookViewId="0">
      <pane xSplit="1" ySplit="1" topLeftCell="B2" activePane="bottomRight" state="frozen"/>
      <selection pane="bottomRight"/>
      <selection pane="bottomLeft" activeCell="A2" sqref="A2"/>
      <selection pane="topRight" activeCell="B1" sqref="B1"/>
    </sheetView>
  </sheetViews>
  <sheetFormatPr defaultColWidth="8.5703125" defaultRowHeight="15"/>
  <cols>
    <col min="1" max="1" width="18" customWidth="1"/>
    <col min="2" max="2" width="16" customWidth="1"/>
    <col min="3" max="4" width="22" customWidth="1"/>
    <col min="5" max="5" width="45" customWidth="1"/>
    <col min="6" max="6" width="18" customWidth="1"/>
    <col min="7" max="8" width="14" customWidth="1"/>
    <col min="9" max="9" width="40" customWidth="1"/>
  </cols>
  <sheetData>
    <row r="1" spans="1:9" ht="31.5" customHeight="1">
      <c r="A1" s="19" t="s">
        <v>280</v>
      </c>
      <c r="B1" s="19" t="s">
        <v>281</v>
      </c>
      <c r="C1" s="19" t="s">
        <v>282</v>
      </c>
      <c r="D1" s="19" t="s">
        <v>12</v>
      </c>
      <c r="E1" s="19" t="s">
        <v>283</v>
      </c>
      <c r="F1" s="19" t="s">
        <v>284</v>
      </c>
      <c r="G1" s="19" t="s">
        <v>285</v>
      </c>
      <c r="H1" s="19" t="s">
        <v>286</v>
      </c>
      <c r="I1" s="19" t="s">
        <v>287</v>
      </c>
    </row>
    <row r="2" spans="1:9" ht="19.5" customHeight="1">
      <c r="A2" s="20" t="s">
        <v>288</v>
      </c>
      <c r="B2" s="21" t="s">
        <v>108</v>
      </c>
      <c r="C2" s="22" t="s">
        <v>289</v>
      </c>
      <c r="D2" s="22" t="s">
        <v>290</v>
      </c>
      <c r="E2" s="22" t="s">
        <v>291</v>
      </c>
      <c r="F2" s="23" t="s">
        <v>292</v>
      </c>
      <c r="G2" s="22"/>
      <c r="H2" s="22"/>
      <c r="I2" s="24"/>
    </row>
    <row r="3" spans="1:9" ht="19.5" customHeight="1">
      <c r="A3" s="20" t="s">
        <v>293</v>
      </c>
      <c r="B3" s="21" t="s">
        <v>118</v>
      </c>
      <c r="C3" s="22" t="s">
        <v>294</v>
      </c>
      <c r="D3" s="22" t="s">
        <v>295</v>
      </c>
      <c r="E3" s="22" t="s">
        <v>296</v>
      </c>
      <c r="F3" s="23" t="s">
        <v>292</v>
      </c>
      <c r="G3" s="22"/>
      <c r="H3" s="22"/>
      <c r="I3" s="24"/>
    </row>
    <row r="4" spans="1:9" ht="19.5" customHeight="1">
      <c r="A4" s="20" t="s">
        <v>176</v>
      </c>
      <c r="B4" s="21" t="s">
        <v>169</v>
      </c>
      <c r="C4" s="22" t="s">
        <v>297</v>
      </c>
      <c r="D4" s="22" t="s">
        <v>290</v>
      </c>
      <c r="E4" s="22" t="s">
        <v>298</v>
      </c>
      <c r="F4" s="25" t="s">
        <v>299</v>
      </c>
      <c r="G4" s="22"/>
      <c r="H4" s="22"/>
      <c r="I4" s="24" t="s">
        <v>300</v>
      </c>
    </row>
    <row r="5" spans="1:9" ht="19.5" customHeight="1">
      <c r="A5" s="20" t="s">
        <v>188</v>
      </c>
      <c r="B5" s="21" t="s">
        <v>182</v>
      </c>
      <c r="C5" s="22" t="s">
        <v>289</v>
      </c>
      <c r="D5" s="22" t="s">
        <v>290</v>
      </c>
      <c r="E5" s="22" t="s">
        <v>301</v>
      </c>
      <c r="F5" s="23" t="s">
        <v>292</v>
      </c>
      <c r="G5" s="22"/>
      <c r="H5" s="22"/>
      <c r="I5" s="24"/>
    </row>
    <row r="6" spans="1:9" ht="19.5" customHeight="1">
      <c r="A6" s="20" t="s">
        <v>176</v>
      </c>
      <c r="B6" s="21" t="s">
        <v>190</v>
      </c>
      <c r="C6" s="22" t="s">
        <v>297</v>
      </c>
      <c r="D6" s="22" t="s">
        <v>290</v>
      </c>
      <c r="E6" s="22" t="s">
        <v>298</v>
      </c>
      <c r="F6" s="25" t="s">
        <v>299</v>
      </c>
      <c r="G6" s="22"/>
      <c r="H6" s="22"/>
      <c r="I6" s="24" t="s">
        <v>300</v>
      </c>
    </row>
    <row r="7" spans="1:9" ht="19.5" customHeight="1">
      <c r="A7" s="20" t="s">
        <v>221</v>
      </c>
      <c r="B7" s="21" t="s">
        <v>216</v>
      </c>
      <c r="C7" s="22" t="s">
        <v>302</v>
      </c>
      <c r="D7" s="22" t="s">
        <v>34</v>
      </c>
      <c r="E7" s="22" t="s">
        <v>303</v>
      </c>
      <c r="F7" s="25" t="s">
        <v>299</v>
      </c>
      <c r="G7" s="22"/>
      <c r="H7" s="22"/>
      <c r="I7" s="24"/>
    </row>
    <row r="8" spans="1:9" ht="19.5" customHeight="1">
      <c r="A8" s="20" t="s">
        <v>228</v>
      </c>
      <c r="B8" s="21" t="s">
        <v>223</v>
      </c>
      <c r="C8" s="22" t="s">
        <v>297</v>
      </c>
      <c r="D8" s="22" t="s">
        <v>290</v>
      </c>
      <c r="E8" s="22" t="s">
        <v>304</v>
      </c>
      <c r="F8" s="26" t="s">
        <v>305</v>
      </c>
      <c r="G8" s="22"/>
      <c r="H8" s="27">
        <v>46105</v>
      </c>
      <c r="I8" s="24" t="s">
        <v>306</v>
      </c>
    </row>
    <row r="9" spans="1:9" ht="19.5" customHeight="1">
      <c r="A9" s="20" t="s">
        <v>235</v>
      </c>
      <c r="B9" s="21" t="s">
        <v>230</v>
      </c>
      <c r="C9" s="22" t="s">
        <v>302</v>
      </c>
      <c r="D9" s="22" t="s">
        <v>34</v>
      </c>
      <c r="E9" s="22" t="s">
        <v>307</v>
      </c>
      <c r="F9" s="25" t="s">
        <v>299</v>
      </c>
      <c r="G9" s="22"/>
      <c r="H9" s="22"/>
      <c r="I9" s="24"/>
    </row>
    <row r="10" spans="1:9" ht="19.5" customHeight="1">
      <c r="A10" s="20" t="s">
        <v>247</v>
      </c>
      <c r="B10" s="21" t="s">
        <v>241</v>
      </c>
      <c r="C10" s="22" t="s">
        <v>308</v>
      </c>
      <c r="D10" s="22" t="s">
        <v>290</v>
      </c>
      <c r="E10" s="22" t="s">
        <v>301</v>
      </c>
      <c r="F10" s="25" t="s">
        <v>299</v>
      </c>
      <c r="G10" s="22"/>
      <c r="H10" s="22"/>
      <c r="I10" s="24"/>
    </row>
    <row r="11" spans="1:9" ht="19.5" customHeight="1">
      <c r="A11" s="28"/>
      <c r="B11" s="28"/>
      <c r="C11" s="28"/>
      <c r="D11" s="28"/>
      <c r="E11" s="28"/>
      <c r="F11" s="28"/>
      <c r="G11" s="28"/>
      <c r="H11" s="28"/>
      <c r="I11" s="28"/>
    </row>
    <row r="12" spans="1:9" ht="19.5" customHeight="1">
      <c r="A12" s="28"/>
      <c r="B12" s="28"/>
      <c r="C12" s="28"/>
      <c r="D12" s="28"/>
      <c r="E12" s="28"/>
      <c r="F12" s="28"/>
      <c r="G12" s="28"/>
      <c r="H12" s="28"/>
      <c r="I12" s="28"/>
    </row>
    <row r="13" spans="1:9" ht="19.5" customHeight="1">
      <c r="A13" s="28"/>
      <c r="B13" s="28"/>
      <c r="C13" s="28"/>
      <c r="D13" s="28"/>
      <c r="E13" s="28"/>
      <c r="F13" s="28"/>
      <c r="G13" s="28"/>
      <c r="H13" s="28"/>
      <c r="I13" s="28"/>
    </row>
    <row r="14" spans="1:9" ht="19.5" customHeight="1">
      <c r="A14" s="28"/>
      <c r="B14" s="28"/>
      <c r="C14" s="28"/>
      <c r="D14" s="28"/>
      <c r="E14" s="28"/>
      <c r="F14" s="28"/>
      <c r="G14" s="28"/>
      <c r="H14" s="28"/>
      <c r="I14" s="28"/>
    </row>
    <row r="15" spans="1:9" ht="19.5" customHeight="1">
      <c r="A15" s="28"/>
      <c r="B15" s="28"/>
      <c r="C15" s="28"/>
      <c r="D15" s="28"/>
      <c r="E15" s="28"/>
      <c r="F15" s="28"/>
      <c r="G15" s="28"/>
      <c r="H15" s="28"/>
      <c r="I15" s="28"/>
    </row>
    <row r="16" spans="1:9" ht="19.5" customHeight="1">
      <c r="A16" s="28"/>
      <c r="B16" s="28"/>
      <c r="C16" s="28"/>
      <c r="D16" s="28"/>
      <c r="E16" s="28"/>
      <c r="F16" s="28"/>
      <c r="G16" s="28"/>
      <c r="H16" s="28"/>
      <c r="I16" s="28"/>
    </row>
    <row r="17" spans="1:9" ht="19.5" customHeight="1">
      <c r="A17" s="28"/>
      <c r="B17" s="28"/>
      <c r="C17" s="28"/>
      <c r="D17" s="28"/>
      <c r="E17" s="28"/>
      <c r="F17" s="28"/>
      <c r="G17" s="28"/>
      <c r="H17" s="28"/>
      <c r="I17" s="28"/>
    </row>
    <row r="18" spans="1:9" ht="19.5" customHeight="1">
      <c r="A18" s="28"/>
      <c r="B18" s="28"/>
      <c r="C18" s="28"/>
      <c r="D18" s="28"/>
      <c r="E18" s="28"/>
      <c r="F18" s="28"/>
      <c r="G18" s="28"/>
      <c r="H18" s="28"/>
      <c r="I18" s="28"/>
    </row>
    <row r="19" spans="1:9" ht="19.5" customHeight="1">
      <c r="A19" s="28"/>
      <c r="B19" s="28"/>
      <c r="C19" s="28"/>
      <c r="D19" s="28"/>
      <c r="E19" s="28"/>
      <c r="F19" s="28"/>
      <c r="G19" s="28"/>
      <c r="H19" s="28"/>
      <c r="I19" s="28"/>
    </row>
    <row r="20" spans="1:9" ht="19.5" customHeight="1">
      <c r="A20" s="28"/>
      <c r="B20" s="28"/>
      <c r="C20" s="28"/>
      <c r="D20" s="28"/>
      <c r="E20" s="28"/>
      <c r="F20" s="28"/>
      <c r="G20" s="28"/>
      <c r="H20" s="28"/>
      <c r="I20" s="28"/>
    </row>
    <row r="21" spans="1:9" ht="19.5" customHeight="1">
      <c r="A21" s="28"/>
      <c r="B21" s="28"/>
      <c r="C21" s="28"/>
      <c r="D21" s="28"/>
      <c r="E21" s="28"/>
      <c r="F21" s="28"/>
      <c r="G21" s="28"/>
      <c r="H21" s="28"/>
      <c r="I21" s="28"/>
    </row>
  </sheetData>
  <dataValidations count="2">
    <dataValidation type="list" allowBlank="1" sqref="F2:F60" xr:uid="{00000000-0002-0000-0100-000000000000}">
      <formula1>"Análise,Andamento,Bloqueado,Concluído"</formula1>
      <formula2>0</formula2>
    </dataValidation>
    <dataValidation type="list" allowBlank="1" sqref="D2:D60" xr:uid="{00000000-0002-0000-0100-000001000000}">
      <formula1>"FFC,FatInt,SupCrmImp,Sustentação,Arquitetura"</formula1>
      <formula2>0</formula2>
    </dataValidation>
  </dataValidations>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s>
  <pageMargins left="0.75" right="0.75" top="1" bottom="1" header="0.511811023622047" footer="0.511811023622047"/>
  <pageSetup paperSize="9" orientation="portrait" horizontalDpi="300" verticalDpi="300"/>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4"/>
  <sheetViews>
    <sheetView zoomScaleNormal="100" workbookViewId="0">
      <pane ySplit="1" topLeftCell="A2" activePane="bottomLeft" state="frozen"/>
      <selection pane="bottomLeft"/>
    </sheetView>
  </sheetViews>
  <sheetFormatPr defaultColWidth="8.5703125" defaultRowHeight="15"/>
  <cols>
    <col min="1" max="1" width="14" customWidth="1"/>
    <col min="2" max="2" width="52" customWidth="1"/>
    <col min="3" max="3" width="15" customWidth="1"/>
    <col min="4" max="4" width="13" customWidth="1"/>
    <col min="5" max="7" width="14" customWidth="1"/>
    <col min="8" max="9" width="20" customWidth="1"/>
    <col min="10" max="10" width="13" customWidth="1"/>
    <col min="11" max="11" width="40" customWidth="1"/>
    <col min="12" max="12" width="16" customWidth="1"/>
    <col min="13" max="14" width="18" customWidth="1"/>
    <col min="15" max="15" width="50" customWidth="1"/>
    <col min="16" max="16" width="40" customWidth="1"/>
    <col min="17" max="17" width="22" customWidth="1"/>
    <col min="18" max="18" width="14" customWidth="1"/>
    <col min="19" max="19" width="35" customWidth="1"/>
    <col min="20" max="20" width="20" customWidth="1"/>
    <col min="21" max="21" width="40" customWidth="1"/>
    <col min="22" max="25" width="18" customWidth="1"/>
    <col min="26" max="26" width="32" customWidth="1"/>
    <col min="27" max="27" width="16" customWidth="1"/>
  </cols>
  <sheetData>
    <row r="1" spans="1:27" ht="31.5" customHeight="1">
      <c r="A1" s="29" t="s">
        <v>0</v>
      </c>
      <c r="B1" s="29" t="s">
        <v>1</v>
      </c>
      <c r="C1" s="29" t="s">
        <v>2</v>
      </c>
      <c r="D1" s="29" t="s">
        <v>3</v>
      </c>
      <c r="E1" s="29" t="s">
        <v>4</v>
      </c>
      <c r="F1" s="29" t="s">
        <v>5</v>
      </c>
      <c r="G1" s="29" t="s">
        <v>6</v>
      </c>
      <c r="H1" s="29" t="s">
        <v>7</v>
      </c>
      <c r="I1" s="29" t="s">
        <v>8</v>
      </c>
      <c r="J1" s="29" t="s">
        <v>9</v>
      </c>
      <c r="K1" s="29" t="s">
        <v>10</v>
      </c>
      <c r="L1" s="29" t="s">
        <v>11</v>
      </c>
      <c r="M1" s="29" t="s">
        <v>12</v>
      </c>
      <c r="N1" s="29" t="s">
        <v>13</v>
      </c>
      <c r="O1" s="29" t="s">
        <v>14</v>
      </c>
      <c r="P1" s="29" t="s">
        <v>15</v>
      </c>
      <c r="Q1" s="29" t="s">
        <v>16</v>
      </c>
      <c r="R1" s="29" t="s">
        <v>17</v>
      </c>
      <c r="S1" s="29" t="s">
        <v>18</v>
      </c>
      <c r="T1" s="29" t="s">
        <v>19</v>
      </c>
      <c r="U1" s="29" t="s">
        <v>20</v>
      </c>
      <c r="V1" s="29" t="s">
        <v>21</v>
      </c>
      <c r="W1" s="29" t="s">
        <v>22</v>
      </c>
      <c r="X1" s="29" t="s">
        <v>23</v>
      </c>
      <c r="Y1" s="29" t="s">
        <v>24</v>
      </c>
      <c r="Z1" s="29" t="s">
        <v>25</v>
      </c>
      <c r="AA1" s="29" t="s">
        <v>309</v>
      </c>
    </row>
    <row r="4" spans="1:27">
      <c r="A4" s="31" t="s">
        <v>310</v>
      </c>
      <c r="B4" s="31"/>
      <c r="C4" s="31"/>
      <c r="D4" s="31"/>
      <c r="E4" s="31"/>
      <c r="F4" s="31"/>
      <c r="G4" s="31"/>
      <c r="H4" s="31"/>
      <c r="I4" s="31"/>
      <c r="J4" s="31"/>
      <c r="K4" s="31"/>
      <c r="L4" s="31"/>
      <c r="M4" s="31"/>
      <c r="N4" s="31"/>
      <c r="O4" s="31"/>
      <c r="P4" s="31"/>
      <c r="Q4" s="31"/>
      <c r="R4" s="31"/>
      <c r="S4" s="31"/>
      <c r="T4" s="31"/>
      <c r="U4" s="31"/>
      <c r="V4" s="31"/>
      <c r="W4" s="31"/>
      <c r="X4" s="31"/>
      <c r="Y4" s="31"/>
      <c r="Z4" s="31"/>
      <c r="AA4" s="31"/>
    </row>
  </sheetData>
  <mergeCells count="1">
    <mergeCell ref="A4:AA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zoomScaleNormal="100" workbookViewId="0">
      <pane ySplit="1" topLeftCell="A2" activePane="bottomLeft" state="frozen"/>
      <selection pane="bottomLeft"/>
    </sheetView>
  </sheetViews>
  <sheetFormatPr defaultColWidth="8.5703125" defaultRowHeight="15"/>
  <cols>
    <col min="1" max="1" width="18" customWidth="1"/>
    <col min="2" max="6" width="22" customWidth="1"/>
  </cols>
  <sheetData>
    <row r="1" spans="1:6" ht="31.5" customHeight="1">
      <c r="A1" s="19" t="s">
        <v>11</v>
      </c>
      <c r="B1" s="19" t="s">
        <v>12</v>
      </c>
      <c r="C1" s="19" t="s">
        <v>22</v>
      </c>
      <c r="D1" s="19" t="s">
        <v>311</v>
      </c>
      <c r="E1" s="19" t="s">
        <v>23</v>
      </c>
      <c r="F1" s="19" t="s">
        <v>312</v>
      </c>
    </row>
    <row r="2" spans="1:6">
      <c r="A2" s="23" t="s">
        <v>77</v>
      </c>
      <c r="B2" s="23" t="s">
        <v>78</v>
      </c>
      <c r="C2" s="23" t="s">
        <v>125</v>
      </c>
      <c r="D2" s="23" t="s">
        <v>95</v>
      </c>
      <c r="E2" s="23" t="s">
        <v>126</v>
      </c>
      <c r="F2" s="23" t="s">
        <v>313</v>
      </c>
    </row>
    <row r="3" spans="1:6">
      <c r="A3" s="30" t="s">
        <v>77</v>
      </c>
      <c r="B3" s="30" t="s">
        <v>314</v>
      </c>
      <c r="C3" s="30" t="s">
        <v>315</v>
      </c>
      <c r="D3" s="30" t="s">
        <v>95</v>
      </c>
      <c r="E3" s="30" t="s">
        <v>313</v>
      </c>
      <c r="F3" s="30" t="s">
        <v>316</v>
      </c>
    </row>
    <row r="4" spans="1:6">
      <c r="A4" s="23" t="s">
        <v>77</v>
      </c>
      <c r="B4" s="23" t="s">
        <v>92</v>
      </c>
      <c r="C4" s="23" t="s">
        <v>95</v>
      </c>
      <c r="D4" s="23" t="s">
        <v>125</v>
      </c>
      <c r="E4" s="23" t="s">
        <v>96</v>
      </c>
      <c r="F4" s="23" t="s">
        <v>317</v>
      </c>
    </row>
    <row r="5" spans="1:6">
      <c r="A5" s="30" t="s">
        <v>47</v>
      </c>
      <c r="B5" s="30" t="s">
        <v>318</v>
      </c>
      <c r="C5" s="30" t="s">
        <v>52</v>
      </c>
      <c r="D5" s="30"/>
      <c r="E5" s="30"/>
      <c r="F5" s="30"/>
    </row>
    <row r="6" spans="1:6">
      <c r="A6" s="23" t="s">
        <v>47</v>
      </c>
      <c r="B6" s="23" t="s">
        <v>48</v>
      </c>
      <c r="C6" s="23" t="s">
        <v>52</v>
      </c>
      <c r="D6" s="23"/>
      <c r="E6" s="23" t="s">
        <v>53</v>
      </c>
      <c r="F6" s="23"/>
    </row>
    <row r="7" spans="1:6">
      <c r="A7" s="30" t="s">
        <v>47</v>
      </c>
      <c r="B7" s="30" t="s">
        <v>105</v>
      </c>
      <c r="C7" s="30" t="s">
        <v>72</v>
      </c>
      <c r="D7" s="30"/>
      <c r="E7" s="30" t="s">
        <v>73</v>
      </c>
      <c r="F7" s="30"/>
    </row>
    <row r="8" spans="1:6">
      <c r="A8" s="23" t="s">
        <v>47</v>
      </c>
      <c r="B8" s="23" t="s">
        <v>319</v>
      </c>
      <c r="C8" s="23" t="s">
        <v>72</v>
      </c>
      <c r="D8" s="23"/>
      <c r="E8" s="23" t="s">
        <v>73</v>
      </c>
      <c r="F8" s="23"/>
    </row>
    <row r="9" spans="1:6">
      <c r="A9" s="30" t="s">
        <v>47</v>
      </c>
      <c r="B9" s="30" t="s">
        <v>320</v>
      </c>
      <c r="C9" s="30" t="s">
        <v>72</v>
      </c>
      <c r="D9" s="30"/>
      <c r="E9" s="30" t="s">
        <v>73</v>
      </c>
      <c r="F9" s="30"/>
    </row>
    <row r="10" spans="1:6">
      <c r="A10" s="23" t="s">
        <v>34</v>
      </c>
      <c r="B10" s="23" t="s">
        <v>225</v>
      </c>
      <c r="C10" s="23" t="s">
        <v>161</v>
      </c>
      <c r="D10" s="23" t="s">
        <v>40</v>
      </c>
      <c r="E10" s="23" t="s">
        <v>321</v>
      </c>
      <c r="F10" s="23"/>
    </row>
    <row r="11" spans="1:6">
      <c r="A11" s="30" t="s">
        <v>34</v>
      </c>
      <c r="B11" s="30" t="s">
        <v>35</v>
      </c>
      <c r="C11" s="30" t="s">
        <v>40</v>
      </c>
      <c r="D11" s="30" t="s">
        <v>161</v>
      </c>
      <c r="E11" s="30" t="s">
        <v>41</v>
      </c>
      <c r="F11" s="30"/>
    </row>
    <row r="12" spans="1:6">
      <c r="A12" s="23" t="s">
        <v>34</v>
      </c>
      <c r="B12" s="23" t="s">
        <v>322</v>
      </c>
      <c r="C12" s="23" t="s">
        <v>323</v>
      </c>
      <c r="D12" s="23" t="s">
        <v>40</v>
      </c>
      <c r="E12" s="23" t="s">
        <v>321</v>
      </c>
      <c r="F12" s="23" t="s">
        <v>324</v>
      </c>
    </row>
    <row r="13" spans="1:6">
      <c r="A13" s="30" t="s">
        <v>34</v>
      </c>
      <c r="B13" s="30" t="s">
        <v>325</v>
      </c>
      <c r="C13" s="30" t="s">
        <v>40</v>
      </c>
      <c r="D13" s="30" t="s">
        <v>323</v>
      </c>
      <c r="E13" s="30" t="s">
        <v>41</v>
      </c>
      <c r="F13" s="30" t="s">
        <v>162</v>
      </c>
    </row>
    <row r="14" spans="1:6">
      <c r="A14" s="23" t="s">
        <v>34</v>
      </c>
      <c r="B14" s="23" t="s">
        <v>326</v>
      </c>
      <c r="C14" s="23" t="s">
        <v>161</v>
      </c>
      <c r="D14" s="23"/>
      <c r="E14" s="23" t="s">
        <v>327</v>
      </c>
      <c r="F14" s="23" t="s">
        <v>321</v>
      </c>
    </row>
    <row r="15" spans="1:6">
      <c r="A15" s="30" t="s">
        <v>34</v>
      </c>
      <c r="B15" s="30" t="s">
        <v>328</v>
      </c>
      <c r="C15" s="30" t="s">
        <v>161</v>
      </c>
      <c r="D15" s="30" t="s">
        <v>40</v>
      </c>
      <c r="E15" s="30" t="s">
        <v>329</v>
      </c>
      <c r="F15" s="30"/>
    </row>
    <row r="16" spans="1:6">
      <c r="A16" s="23" t="s">
        <v>34</v>
      </c>
      <c r="B16" s="23" t="s">
        <v>158</v>
      </c>
      <c r="C16" s="23" t="s">
        <v>161</v>
      </c>
      <c r="D16" s="23" t="s">
        <v>323</v>
      </c>
      <c r="E16" s="23" t="s">
        <v>162</v>
      </c>
      <c r="F16" s="23"/>
    </row>
    <row r="17" spans="1:6">
      <c r="A17" s="30" t="s">
        <v>34</v>
      </c>
      <c r="B17" s="30" t="s">
        <v>330</v>
      </c>
      <c r="C17" s="30" t="s">
        <v>323</v>
      </c>
      <c r="D17" s="30"/>
      <c r="E17" s="30" t="s">
        <v>331</v>
      </c>
      <c r="F17" s="30" t="s">
        <v>329</v>
      </c>
    </row>
    <row r="18" spans="1:6">
      <c r="A18" s="23" t="s">
        <v>34</v>
      </c>
      <c r="B18" s="23" t="s">
        <v>332</v>
      </c>
      <c r="C18" s="23" t="s">
        <v>40</v>
      </c>
      <c r="D18" s="23" t="s">
        <v>323</v>
      </c>
      <c r="E18" s="23" t="s">
        <v>331</v>
      </c>
      <c r="F18" s="23"/>
    </row>
    <row r="19" spans="1:6">
      <c r="A19" s="30" t="s">
        <v>34</v>
      </c>
      <c r="B19" s="30" t="s">
        <v>333</v>
      </c>
      <c r="C19" s="30" t="s">
        <v>161</v>
      </c>
      <c r="D19" s="30" t="s">
        <v>40</v>
      </c>
      <c r="E19" s="30" t="s">
        <v>324</v>
      </c>
      <c r="F19" s="30"/>
    </row>
    <row r="20" spans="1:6">
      <c r="A20" s="23" t="s">
        <v>34</v>
      </c>
      <c r="B20" s="23" t="s">
        <v>334</v>
      </c>
      <c r="C20" s="23" t="s">
        <v>323</v>
      </c>
      <c r="D20" s="23"/>
      <c r="E20" s="23" t="s">
        <v>329</v>
      </c>
      <c r="F20" s="23"/>
    </row>
    <row r="21" spans="1:6">
      <c r="A21" s="30" t="s">
        <v>34</v>
      </c>
      <c r="B21" s="30" t="s">
        <v>335</v>
      </c>
      <c r="C21" s="30" t="s">
        <v>40</v>
      </c>
      <c r="D21" s="30" t="s">
        <v>161</v>
      </c>
      <c r="E21" s="30" t="s">
        <v>162</v>
      </c>
      <c r="F21" s="30"/>
    </row>
    <row r="22" spans="1:6">
      <c r="A22" s="23" t="s">
        <v>34</v>
      </c>
      <c r="B22" s="23" t="s">
        <v>199</v>
      </c>
      <c r="C22" s="23" t="s">
        <v>40</v>
      </c>
      <c r="D22" s="23"/>
      <c r="E22" s="23" t="s">
        <v>204</v>
      </c>
      <c r="F22" s="23"/>
    </row>
    <row r="23" spans="1:6">
      <c r="A23" s="30" t="s">
        <v>34</v>
      </c>
      <c r="B23" s="30" t="s">
        <v>251</v>
      </c>
      <c r="C23" s="30" t="s">
        <v>323</v>
      </c>
      <c r="D23" s="30" t="s">
        <v>161</v>
      </c>
      <c r="E23" s="30" t="s">
        <v>204</v>
      </c>
      <c r="F23" s="30"/>
    </row>
    <row r="25" spans="1:6">
      <c r="A25" s="31" t="s">
        <v>336</v>
      </c>
      <c r="B25" s="31"/>
      <c r="C25" s="31"/>
      <c r="D25" s="31"/>
      <c r="E25" s="31"/>
      <c r="F25" s="31"/>
    </row>
  </sheetData>
  <mergeCells count="1">
    <mergeCell ref="A25:F25"/>
  </mergeCells>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RCA Pocket</dc:title>
  <dc:subject/>
  <dc:creator>openpyxl</dc:creator>
  <cp:keywords/>
  <dc:description>Gerado em 30/03/2026 16:08</dc:description>
  <cp:lastModifiedBy>Murilo Maschke</cp:lastModifiedBy>
  <cp:revision>2</cp:revision>
  <dcterms:created xsi:type="dcterms:W3CDTF">2026-03-30T19:08:41Z</dcterms:created>
  <dcterms:modified xsi:type="dcterms:W3CDTF">2026-03-31T19:41:05Z</dcterms:modified>
  <cp:category/>
  <cp:contentStatus/>
</cp:coreProperties>
</file>