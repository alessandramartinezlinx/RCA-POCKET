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dos" sheetId="1" state="visible" r:id="rId1"/>
    <sheet xmlns:r="http://schemas.openxmlformats.org/officeDocument/2006/relationships" name="🗂️ Acompanhamento Issue" sheetId="2" state="visible" r:id="rId2"/>
    <sheet xmlns:r="http://schemas.openxmlformats.org/officeDocument/2006/relationships" name="📦 Arquivo" sheetId="3" state="visible" r:id="rId3"/>
    <sheet xmlns:r="http://schemas.openxmlformats.org/officeDocument/2006/relationships" name="👥 Responsávei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sz val="9"/>
    </font>
    <font>
      <b val="1"/>
      <color rgb="000563C1"/>
      <sz val="9"/>
      <u val="single"/>
    </font>
    <font>
      <b val="1"/>
      <color rgb="009C0006"/>
      <sz val="9"/>
    </font>
    <font>
      <b val="1"/>
      <color rgb="009C6500"/>
      <sz val="9"/>
    </font>
    <font>
      <i val="1"/>
      <color rgb="00888888"/>
      <sz val="8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4546A"/>
      </patternFill>
    </fill>
    <fill>
      <patternFill patternType="solid">
        <fgColor rgb="00375623"/>
      </patternFill>
    </fill>
    <fill>
      <patternFill patternType="solid">
        <fgColor rgb="00D6E4F0"/>
      </patternFill>
    </fill>
    <fill>
      <patternFill patternType="solid">
        <fgColor rgb="00E8EAED"/>
      </patternFill>
    </fill>
    <fill>
      <patternFill patternType="solid">
        <fgColor rgb="00EBF1D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F6000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165" fontId="2" fillId="5" borderId="1" applyAlignment="1" pivotButton="0" quotePrefix="0" xfId="0">
      <alignment vertical="center"/>
    </xf>
    <xf numFmtId="1" fontId="2" fillId="5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horizontal="center" vertical="center"/>
    </xf>
    <xf numFmtId="0" fontId="2" fillId="7" borderId="1" applyAlignment="1" pivotButton="0" quotePrefix="0" xfId="0">
      <alignment vertical="top" wrapText="1"/>
    </xf>
    <xf numFmtId="0" fontId="5" fillId="9" borderId="1" applyAlignment="1" pivotButton="0" quotePrefix="0" xfId="0">
      <alignment vertical="center"/>
    </xf>
    <xf numFmtId="0" fontId="1" fillId="11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1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2" fillId="12" borderId="1" applyAlignment="1" pivotButton="0" quotePrefix="0" xfId="0">
      <alignment vertical="center"/>
    </xf>
    <xf numFmtId="0" fontId="2" fillId="1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abelaDados" displayName="TabelaDados" ref="A1:AA18" headerRowCount="1">
  <autoFilter ref="A1:AA18"/>
  <tableColumns count="27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Analisado"/>
    <tableColumn id="27" name="Data Filtra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elaResponsaveis" displayName="TabelaResponsaveis" ref="A1:F23" headerRowCount="1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ira.linx.com.br/browse/MODAJOI-100652" TargetMode="External" Id="rId1"/><Relationship Type="http://schemas.openxmlformats.org/officeDocument/2006/relationships/hyperlink" Target="https://jira.linx.com.br/browse/MODAJOI-100187" TargetMode="External" Id="rId2"/><Relationship Type="http://schemas.openxmlformats.org/officeDocument/2006/relationships/hyperlink" Target="https://jira.linx.com.br/browse/MODAJOI-99532" TargetMode="External" Id="rId3"/><Relationship Type="http://schemas.openxmlformats.org/officeDocument/2006/relationships/hyperlink" Target="https://jira.linx.com.br/browse/MODAJOI-100251" TargetMode="External" Id="rId4"/><Relationship Type="http://schemas.openxmlformats.org/officeDocument/2006/relationships/hyperlink" Target="https://jira.linx.com.br/browse/MODAJOI-100418" TargetMode="External" Id="rId5"/><Relationship Type="http://schemas.openxmlformats.org/officeDocument/2006/relationships/hyperlink" Target="https://jira.linx.com.br/browse/MODAJOI-100393" TargetMode="External" Id="rId6"/><Relationship Type="http://schemas.openxmlformats.org/officeDocument/2006/relationships/hyperlink" Target="https://jira.linx.com.br/browse/MODAJOI-100578" TargetMode="External" Id="rId7"/><Relationship Type="http://schemas.openxmlformats.org/officeDocument/2006/relationships/hyperlink" Target="https://jira.linx.com.br/browse/MODAJOI-100461" TargetMode="External" Id="rId8"/><Relationship Type="http://schemas.openxmlformats.org/officeDocument/2006/relationships/hyperlink" Target="https://jira.linx.com.br/browse/MODAJOI-100776" TargetMode="External" Id="rId9"/><Relationship Type="http://schemas.openxmlformats.org/officeDocument/2006/relationships/hyperlink" Target="https://jira.linx.com.br/browse/MODAJOI-100270" TargetMode="External" Id="rId10"/><Relationship Type="http://schemas.openxmlformats.org/officeDocument/2006/relationships/hyperlink" Target="https://jira.linx.com.br/browse/MODAJOI-99893" TargetMode="External" Id="rId11"/><Relationship Type="http://schemas.openxmlformats.org/officeDocument/2006/relationships/hyperlink" Target="https://jira.linx.com.br/browse/MODAJOI-100066" TargetMode="External" Id="rId12"/><Relationship Type="http://schemas.openxmlformats.org/officeDocument/2006/relationships/hyperlink" Target="https://jira.linx.com.br/browse/MODAJOI-100533" TargetMode="External" Id="rId13"/><Relationship Type="http://schemas.openxmlformats.org/officeDocument/2006/relationships/hyperlink" Target="https://jira.linx.com.br/browse/MODAJOI-100597" TargetMode="External" Id="rId14"/><Relationship Type="http://schemas.openxmlformats.org/officeDocument/2006/relationships/hyperlink" Target="https://jira.linx.com.br/browse/MODAJOI-100650" TargetMode="External" Id="rId15"/><Relationship Type="http://schemas.openxmlformats.org/officeDocument/2006/relationships/hyperlink" Target="https://jira.linx.com.br/browse/MODAJOI-100566" TargetMode="External" Id="rId16"/><Relationship Type="http://schemas.openxmlformats.org/officeDocument/2006/relationships/hyperlink" Target="https://jira.linx.com.br/browse/MODAJOI-100362" TargetMode="External" Id="rId17"/><Relationship Type="http://schemas.openxmlformats.org/officeDocument/2006/relationships/table" Target="/xl/tables/table1.xml" Id="rId18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5" customWidth="1" min="3" max="3"/>
    <col width="13" customWidth="1" min="4" max="4"/>
    <col width="14" customWidth="1" min="5" max="5"/>
    <col width="14" customWidth="1" min="6" max="6"/>
    <col width="14" customWidth="1" min="7" max="7"/>
    <col width="20" customWidth="1" min="8" max="8"/>
    <col width="20" customWidth="1" min="9" max="9"/>
    <col width="13" customWidth="1" min="10" max="10"/>
    <col width="40" customWidth="1" min="11" max="11"/>
    <col width="16" customWidth="1" min="12" max="12"/>
    <col width="18" customWidth="1" min="13" max="13"/>
    <col width="18" customWidth="1" min="14" max="14"/>
    <col width="50" customWidth="1" min="15" max="15"/>
    <col width="40" customWidth="1" min="16" max="16"/>
    <col width="22" customWidth="1" min="17" max="17"/>
    <col width="14" customWidth="1" min="18" max="18"/>
    <col width="35" customWidth="1" min="19" max="19"/>
    <col width="20" customWidth="1" min="20" max="20"/>
    <col width="40" customWidth="1" min="21" max="21"/>
    <col width="18" customWidth="1" min="22" max="22"/>
    <col width="18" customWidth="1" min="23" max="23"/>
    <col width="18" customWidth="1" min="24" max="24"/>
    <col width="18" customWidth="1" min="25" max="25"/>
    <col width="14" customWidth="1" min="26" max="26"/>
    <col width="14" customWidth="1" min="27" max="27"/>
  </cols>
  <sheetData>
    <row r="1" ht="36" customHeight="1">
      <c r="A1" s="1" t="inlineStr">
        <is>
          <t>Key</t>
        </is>
      </c>
      <c r="B1" s="1" t="inlineStr">
        <is>
          <t>Resumo</t>
        </is>
      </c>
      <c r="C1" s="1" t="inlineStr">
        <is>
          <t>Status Jira</t>
        </is>
      </c>
      <c r="D1" s="1" t="inlineStr">
        <is>
          <t>Prioridade</t>
        </is>
      </c>
      <c r="E1" s="1" t="inlineStr">
        <is>
          <t>Data Criação</t>
        </is>
      </c>
      <c r="F1" s="1" t="inlineStr">
        <is>
          <t>Data Resolução</t>
        </is>
      </c>
      <c r="G1" s="1" t="inlineStr">
        <is>
          <t>Dias p/ Resolver</t>
        </is>
      </c>
      <c r="H1" s="1" t="inlineStr">
        <is>
          <t>DeV Responsável pelo Bug</t>
        </is>
      </c>
      <c r="I1" s="1" t="inlineStr">
        <is>
          <t>QA Responsável pelo Bug</t>
        </is>
      </c>
      <c r="J1" s="1" t="inlineStr">
        <is>
          <t>Qtd Vínculos</t>
        </is>
      </c>
      <c r="K1" s="1" t="inlineStr">
        <is>
          <t>Causa Raiz</t>
        </is>
      </c>
      <c r="L1" s="2" t="inlineStr">
        <is>
          <t>Time</t>
        </is>
      </c>
      <c r="M1" s="2" t="inlineStr">
        <is>
          <t>Área</t>
        </is>
      </c>
      <c r="N1" s="2" t="inlineStr">
        <is>
          <t>Tipo Erro (Auto)</t>
        </is>
      </c>
      <c r="O1" s="2" t="inlineStr">
        <is>
          <t>Ação Realizada no Bug</t>
        </is>
      </c>
      <c r="P1" s="3" t="inlineStr">
        <is>
          <t>Análise da Causa</t>
        </is>
      </c>
      <c r="Q1" s="3" t="inlineStr">
        <is>
          <t>Tipo de Ajuste</t>
        </is>
      </c>
      <c r="R1" s="3" t="inlineStr">
        <is>
          <t>Possui TA</t>
        </is>
      </c>
      <c r="S1" s="3" t="inlineStr">
        <is>
          <t>Arquivo TA</t>
        </is>
      </c>
      <c r="T1" s="3" t="inlineStr">
        <is>
          <t>Resultado da Automação</t>
        </is>
      </c>
      <c r="U1" s="3" t="inlineStr">
        <is>
          <t>Contexto</t>
        </is>
      </c>
      <c r="V1" s="3" t="inlineStr">
        <is>
          <t>Problema Resolvido?</t>
        </is>
      </c>
      <c r="W1" s="3" t="inlineStr">
        <is>
          <t>QA Principal</t>
        </is>
      </c>
      <c r="X1" s="3" t="inlineStr">
        <is>
          <t>Dev Principal</t>
        </is>
      </c>
      <c r="Y1" s="3" t="inlineStr">
        <is>
          <t>Issue de Acompanhamento</t>
        </is>
      </c>
      <c r="Z1" s="3" t="inlineStr">
        <is>
          <t>Analisado</t>
        </is>
      </c>
      <c r="AA1" s="3" t="inlineStr">
        <is>
          <t>Data Filtragem</t>
        </is>
      </c>
    </row>
    <row r="2" ht="40" customHeight="1">
      <c r="A2" s="4" t="inlineStr">
        <is>
          <t>MODAJOI-100652</t>
        </is>
      </c>
      <c r="B2" s="5" t="inlineStr">
        <is>
          <t>Venda fácil: Não permite editar pré-venda ==================================</t>
        </is>
      </c>
      <c r="C2" s="5" t="inlineStr">
        <is>
          <t>Concluída</t>
        </is>
      </c>
      <c r="D2" s="5" t="inlineStr">
        <is>
          <t>P2 - Médio</t>
        </is>
      </c>
      <c r="E2" s="6" t="n">
        <v>46093</v>
      </c>
      <c r="F2" s="6" t="n">
        <v>46098</v>
      </c>
      <c r="G2" s="7">
        <f>IF(OR(E2="",F2=""),"",INT(F2-E2))</f>
        <v/>
      </c>
      <c r="H2" s="5" t="inlineStr">
        <is>
          <t>Kassia Mabily Fraga Souza</t>
        </is>
      </c>
      <c r="I2" s="5" t="inlineStr">
        <is>
          <t>Altimara Wrobel Carneiro Schmitz</t>
        </is>
      </c>
      <c r="J2" s="8" t="n">
        <v>27</v>
      </c>
      <c r="K2" s="5" t="inlineStr">
        <is>
          <t>Venda fácil: Não permite editar pré-venda ==================================</t>
        </is>
      </c>
      <c r="L2" s="9" t="inlineStr">
        <is>
          <t>FatInt</t>
        </is>
      </c>
      <c r="M2" s="9" t="inlineStr">
        <is>
          <t>Venda Fácil</t>
        </is>
      </c>
      <c r="N2" s="9" t="inlineStr">
        <is>
          <t>Banco de Dados</t>
        </is>
      </c>
      <c r="O2" s="10" t="inlineStr">
        <is>
          <t>[Alteração no código] Causa Após alterações da demanda originadora (MODAJOI-99809), a regra de habilitação do botão “Finalizar” na tela de pagamento da pré-venda ficou mais restritiva e, ao editar uma pré-venda existente sem informar pagamento, o botão permanecia “em marca d’água” (desabilitado), impedindo salvar/prosseguir com as alterações. Solução Ajustada a condição do método `permiteFinali...</t>
        </is>
      </c>
      <c r="P2" s="11" t="inlineStr"/>
      <c r="Q2" s="11" t="inlineStr"/>
      <c r="R2" s="11" t="inlineStr">
        <is>
          <t>Sim</t>
        </is>
      </c>
      <c r="S2" s="11" t="inlineStr">
        <is>
          <t>CD025-Editar Salvar e Finalizar Pre-Venda com Pagamento Nao Informado e Incluindo Novos Produtos
CD026-Editar Salvar e Finalizar Pre-Venda com Pagamento Total Informado e Incluindo Novos Produtos
CD027-Editar Salvar e Finalizar Pre-Venda com Pagamento Parcial Informado e Incluindo Novos Produtos
(+2 mais)</t>
        </is>
      </c>
      <c r="T2" s="11" t="inlineStr">
        <is>
          <t>Detectou problema</t>
        </is>
      </c>
      <c r="U2" s="11" t="inlineStr"/>
      <c r="V2" s="11" t="inlineStr"/>
      <c r="W2" s="11" t="inlineStr">
        <is>
          <t>Daiane</t>
        </is>
      </c>
      <c r="X2" s="11" t="inlineStr">
        <is>
          <t>Gisele</t>
        </is>
      </c>
      <c r="Y2" s="11" t="inlineStr"/>
      <c r="Z2" s="11" t="inlineStr"/>
      <c r="AA2" s="12" t="inlineStr">
        <is>
          <t>17/03/2026</t>
        </is>
      </c>
    </row>
    <row r="3" ht="40" customHeight="1">
      <c r="A3" s="4" t="inlineStr">
        <is>
          <t>MODAJOI-100187</t>
        </is>
      </c>
      <c r="B3" s="5" t="inlineStr">
        <is>
          <t>Oops, Ocorreu um erro! ao gerar Pré-venda com link de pagamento. ==================================</t>
        </is>
      </c>
      <c r="C3" s="5" t="inlineStr">
        <is>
          <t>Concluída</t>
        </is>
      </c>
      <c r="D3" s="5" t="inlineStr">
        <is>
          <t>P2 - Médio</t>
        </is>
      </c>
      <c r="E3" s="6" t="n">
        <v>46081</v>
      </c>
      <c r="F3" s="6" t="n">
        <v>46098</v>
      </c>
      <c r="G3" s="7">
        <f>IF(OR(E3="",F3=""),"",INT(F3-E3))</f>
        <v/>
      </c>
      <c r="H3" s="5" t="inlineStr">
        <is>
          <t>Marcos Eduardo Melo Mendonca</t>
        </is>
      </c>
      <c r="I3" s="5" t="inlineStr">
        <is>
          <t>Déborah Brenda Dos Santos</t>
        </is>
      </c>
      <c r="J3" s="8" t="n">
        <v>9</v>
      </c>
      <c r="K3" s="5" t="inlineStr">
        <is>
          <t>Oops, Ocorreu um erro! ao gerar Pré-venda com link de pagamento. ==================================</t>
        </is>
      </c>
      <c r="L3" s="9" t="inlineStr">
        <is>
          <t>FatInt</t>
        </is>
      </c>
      <c r="M3" s="9" t="inlineStr">
        <is>
          <t>Venda Fácil</t>
        </is>
      </c>
      <c r="N3" s="9" t="inlineStr">
        <is>
          <t>Integração</t>
        </is>
      </c>
      <c r="O3" s="10" t="inlineStr">
        <is>
          <t>[Alteração no código] Atualização URL</t>
        </is>
      </c>
      <c r="P3" s="11" t="inlineStr"/>
      <c r="Q3" s="11" t="inlineStr"/>
      <c r="R3" s="11" t="inlineStr">
        <is>
          <t>Sim</t>
        </is>
      </c>
      <c r="S3" s="11" t="inlineStr">
        <is>
          <t>CD002-Pre-venda com Acao Promocional Tipo 3 com Link de Pagamento
CD004-Pre-venda com Link de Pagamento
CD007-Pre Venda com Link Pagamento via Whatsapp
(+2 mais)</t>
        </is>
      </c>
      <c r="T3" s="11" t="inlineStr">
        <is>
          <t>Não detectou</t>
        </is>
      </c>
      <c r="U3" s="11" t="inlineStr">
        <is>
          <t>CD007-Pre Venda com Link Pagamento via Whatsapp - esse cenário estava com erro</t>
        </is>
      </c>
      <c r="V3" s="11" t="inlineStr"/>
      <c r="W3" s="11" t="inlineStr">
        <is>
          <t>Daiane</t>
        </is>
      </c>
      <c r="X3" s="11" t="inlineStr">
        <is>
          <t>Gisele</t>
        </is>
      </c>
      <c r="Y3" s="11" t="inlineStr"/>
      <c r="Z3" s="11" t="inlineStr"/>
      <c r="AA3" s="12" t="inlineStr">
        <is>
          <t>17/03/2026</t>
        </is>
      </c>
    </row>
    <row r="4" ht="40" customHeight="1">
      <c r="A4" s="4" t="inlineStr">
        <is>
          <t>MODAJOI-99532</t>
        </is>
      </c>
      <c r="B4" s="5" t="inlineStr">
        <is>
          <t>POS - Comprovante do Remessas e Retornos não Funciona</t>
        </is>
      </c>
      <c r="C4" s="5" t="inlineStr">
        <is>
          <t>Concluída</t>
        </is>
      </c>
      <c r="D4" s="5" t="inlineStr">
        <is>
          <t>P3 - Baixo</t>
        </is>
      </c>
      <c r="E4" s="6" t="n">
        <v>46063</v>
      </c>
      <c r="F4" s="6" t="n">
        <v>46098</v>
      </c>
      <c r="G4" s="7">
        <f>IF(OR(E4="",F4=""),"",INT(F4-E4))</f>
        <v/>
      </c>
      <c r="H4" s="5" t="inlineStr">
        <is>
          <t xml:space="preserve">Joao Vinicius Souza Goncalves </t>
        </is>
      </c>
      <c r="I4" s="5" t="inlineStr">
        <is>
          <t>Déborah Brenda Dos Santos</t>
        </is>
      </c>
      <c r="J4" s="8" t="n">
        <v>7</v>
      </c>
      <c r="K4" s="5" t="inlineStr">
        <is>
          <t>POS - Comprovante do Remessas e Retornos não Funciona</t>
        </is>
      </c>
      <c r="L4" s="9" t="inlineStr">
        <is>
          <t>FatInt</t>
        </is>
      </c>
      <c r="M4" s="9" t="inlineStr">
        <is>
          <t>Remessas e Retornos</t>
        </is>
      </c>
      <c r="N4" s="9" t="inlineStr">
        <is>
          <t>Banco de Dados</t>
        </is>
      </c>
      <c r="O4" s="10" t="inlineStr">
        <is>
          <t>[Alteração no código] Ajuste para que o POS permite corretamente imprimir o comprovante de remessas e retornos.</t>
        </is>
      </c>
      <c r="P4" s="11" t="inlineStr"/>
      <c r="Q4" s="11" t="inlineStr"/>
      <c r="R4" s="11" t="inlineStr">
        <is>
          <t>Sim</t>
        </is>
      </c>
      <c r="S4" s="11" t="inlineStr">
        <is>
          <t>CD04-Emitir Remessa em Demonstracao e Realizar Acerto Vendendo com Pre-Venda
CD09-Emitir Remessa tipo Venda Ambulante e Realizar Acertos Vendendo
CD12-Venda NFC-e com as Forma de Pagamento: POS Connect
(+2 mais)</t>
        </is>
      </c>
      <c r="T4" s="11" t="inlineStr">
        <is>
          <t>Não detectou</t>
        </is>
      </c>
      <c r="U4" s="11" t="inlineStr"/>
      <c r="V4" s="11" t="inlineStr"/>
      <c r="W4" s="11" t="inlineStr">
        <is>
          <t>Daiane</t>
        </is>
      </c>
      <c r="X4" s="11" t="inlineStr">
        <is>
          <t>Otávio</t>
        </is>
      </c>
      <c r="Y4" s="11" t="inlineStr"/>
      <c r="Z4" s="11" t="inlineStr"/>
      <c r="AA4" s="12" t="inlineStr">
        <is>
          <t>17/03/2026</t>
        </is>
      </c>
    </row>
    <row r="5" ht="40" customHeight="1">
      <c r="A5" s="4" t="inlineStr">
        <is>
          <t>MODAJOI-100251</t>
        </is>
      </c>
      <c r="B5" s="5" t="inlineStr">
        <is>
          <t>Venda Fácil - Não finaliza venda com campanha do CRM&amp;Bônus.</t>
        </is>
      </c>
      <c r="C5" s="5" t="inlineStr">
        <is>
          <t>Concluída</t>
        </is>
      </c>
      <c r="D5" s="5" t="inlineStr">
        <is>
          <t>P1 - Alto</t>
        </is>
      </c>
      <c r="E5" s="6" t="n">
        <v>46083</v>
      </c>
      <c r="F5" s="6" t="n">
        <v>46098</v>
      </c>
      <c r="G5" s="7">
        <f>IF(OR(E5="",F5=""),"",INT(F5-E5))</f>
        <v/>
      </c>
      <c r="H5" s="5" t="inlineStr">
        <is>
          <t xml:space="preserve">Joao Vinicius Souza Goncalves </t>
        </is>
      </c>
      <c r="I5" s="5" t="inlineStr">
        <is>
          <t>Déborah Brenda Dos Santos</t>
        </is>
      </c>
      <c r="J5" s="5" t="n">
        <v>2</v>
      </c>
      <c r="K5" s="5" t="inlineStr">
        <is>
          <t>Venda Fácil - Não finaliza venda com campanha do CRM&amp;Bônus.</t>
        </is>
      </c>
      <c r="L5" s="9" t="inlineStr">
        <is>
          <t>FatInt</t>
        </is>
      </c>
      <c r="M5" s="9" t="inlineStr">
        <is>
          <t>Venda Fácil</t>
        </is>
      </c>
      <c r="N5" s="9" t="inlineStr">
        <is>
          <t>Banco de Dados</t>
        </is>
      </c>
      <c r="O5" s="10" t="inlineStr">
        <is>
          <t>[Alteração no código] Ajuste para que o VF finalize corretamente caso haja campanha crmBonus. O erro ocorria por uma especie de `blindagem` para evitar duplo clique e duplicidade na finalização de vendas. Que tratava essa finalização indevidamente e impedia que de fato a venda fosse concluida.</t>
        </is>
      </c>
      <c r="P5" s="11" t="inlineStr"/>
      <c r="Q5" s="11" t="inlineStr"/>
      <c r="R5" s="11" t="inlineStr">
        <is>
          <t>Sim</t>
        </is>
      </c>
      <c r="S5" s="11" t="inlineStr">
        <is>
          <t>CD001-PV PF 1 Produto Sem Pagamento
CD001-Pre Venda 1 Servico Pgto Parcial Debito
CD001-Pre-venda com Acao Promocional Tipo 1
(+2 mais)</t>
        </is>
      </c>
      <c r="T5" s="11" t="inlineStr">
        <is>
          <t>Não detectou</t>
        </is>
      </c>
      <c r="U5" s="11" t="inlineStr"/>
      <c r="V5" s="11" t="inlineStr"/>
      <c r="W5" s="11" t="inlineStr">
        <is>
          <t>Daiane</t>
        </is>
      </c>
      <c r="X5" s="11" t="inlineStr">
        <is>
          <t>Gisele</t>
        </is>
      </c>
      <c r="Y5" s="11" t="inlineStr"/>
      <c r="Z5" s="11" t="inlineStr"/>
      <c r="AA5" s="12" t="inlineStr">
        <is>
          <t>17/03/2026</t>
        </is>
      </c>
    </row>
    <row r="6" ht="40" customHeight="1">
      <c r="A6" s="4" t="inlineStr">
        <is>
          <t>MODAJOI-100418</t>
        </is>
      </c>
      <c r="B6" s="5" t="inlineStr">
        <is>
          <t>Venda Fácil - Rejeição 865: Total dos pagamentos menor que o total da nota, em vendas com cupom.</t>
        </is>
      </c>
      <c r="C6" s="5" t="inlineStr">
        <is>
          <t>Concluída</t>
        </is>
      </c>
      <c r="D6" s="5" t="inlineStr">
        <is>
          <t>P1 - Alto</t>
        </is>
      </c>
      <c r="E6" s="6" t="n">
        <v>46086</v>
      </c>
      <c r="F6" s="6" t="n">
        <v>46098</v>
      </c>
      <c r="G6" s="7">
        <f>IF(OR(E6="",F6=""),"",INT(F6-E6))</f>
        <v/>
      </c>
      <c r="H6" s="5" t="inlineStr">
        <is>
          <t>Kassia Mabily Fraga Souza</t>
        </is>
      </c>
      <c r="I6" s="5" t="inlineStr">
        <is>
          <t>Déborah Brenda Dos Santos</t>
        </is>
      </c>
      <c r="J6" s="5" t="n">
        <v>1</v>
      </c>
      <c r="K6" s="5" t="inlineStr">
        <is>
          <t>Venda Fácil - Rejeição 865: Total dos pagamentos menor que o total da nota, em vendas com cupom.</t>
        </is>
      </c>
      <c r="L6" s="9" t="inlineStr">
        <is>
          <t>FatInt</t>
        </is>
      </c>
      <c r="M6" s="9" t="inlineStr">
        <is>
          <t>Venda Fácil</t>
        </is>
      </c>
      <c r="N6" s="9" t="inlineStr">
        <is>
          <t>Banco de Dados</t>
        </is>
      </c>
      <c r="O6" s="10" t="inlineStr">
        <is>
          <t>[Alteração no código] Causa A validação anterior limitava o desconto considerando apenas o valor total dos produtos. Com isso, era possível concluir a venda com valor final de R$ 0,01, independentemente da quantidade de itens, pois a regra distribuía esse mínimo por item. A validação anterior veio como ajuste da MODAJOI-100016, mas as alterações surtiam efeito para o cenário do valor do cupom m...</t>
        </is>
      </c>
      <c r="P6" s="11" t="inlineStr"/>
      <c r="Q6" s="11" t="inlineStr"/>
      <c r="R6" s="11" t="inlineStr">
        <is>
          <t>Sim</t>
        </is>
      </c>
      <c r="S6" s="11" t="inlineStr">
        <is>
          <t>CD27-Venda com Rejeicao da Nota
CD005-Pre Venda Rejeicao por CST Incorreta
CD006-Pre Venda Pagamento Total
(+2 mais)</t>
        </is>
      </c>
      <c r="T6" s="11" t="inlineStr"/>
      <c r="U6" s="11" t="inlineStr"/>
      <c r="V6" s="11" t="inlineStr"/>
      <c r="W6" s="11" t="inlineStr">
        <is>
          <t>Daiane</t>
        </is>
      </c>
      <c r="X6" s="11" t="inlineStr">
        <is>
          <t>Gisele</t>
        </is>
      </c>
      <c r="Y6" s="11" t="inlineStr"/>
      <c r="Z6" s="11" t="inlineStr"/>
      <c r="AA6" s="12" t="inlineStr">
        <is>
          <t>17/03/2026</t>
        </is>
      </c>
    </row>
    <row r="7" ht="40" customHeight="1">
      <c r="A7" s="4" t="inlineStr">
        <is>
          <t>MODAJOI-100393</t>
        </is>
      </c>
      <c r="B7" s="5" t="inlineStr">
        <is>
          <t>Troca fácil: Não é possivel realizar devolução para o item ==================================</t>
        </is>
      </c>
      <c r="C7" s="5" t="inlineStr">
        <is>
          <t>Concluída</t>
        </is>
      </c>
      <c r="D7" s="5" t="inlineStr">
        <is>
          <t>P1 - Alto</t>
        </is>
      </c>
      <c r="E7" s="6" t="n">
        <v>46086</v>
      </c>
      <c r="F7" s="6" t="n">
        <v>46098</v>
      </c>
      <c r="G7" s="7">
        <f>IF(OR(E7="",F7=""),"",INT(F7-E7))</f>
        <v/>
      </c>
      <c r="H7" s="5" t="inlineStr">
        <is>
          <t>Leticia Saraiva Chaves</t>
        </is>
      </c>
      <c r="I7" s="5" t="inlineStr">
        <is>
          <t>Déborah Brenda Dos Santos</t>
        </is>
      </c>
      <c r="J7" s="5" t="n">
        <v>1</v>
      </c>
      <c r="K7" s="5" t="inlineStr">
        <is>
          <t>Troca fácil: Não é possivel realizar devolução para o item ==================================</t>
        </is>
      </c>
      <c r="L7" s="9" t="inlineStr">
        <is>
          <t>FFC</t>
        </is>
      </c>
      <c r="M7" s="9" t="inlineStr">
        <is>
          <t>NF-e</t>
        </is>
      </c>
      <c r="N7" s="9" t="inlineStr">
        <is>
          <t>Banco de Dados</t>
        </is>
      </c>
      <c r="O7" s="10" t="inlineStr">
        <is>
          <t>[Alteração no código] Ajuste na query ao verificar a existência de devolução sem registro na tabela trocaunificada.</t>
        </is>
      </c>
      <c r="P7" s="11" t="inlineStr"/>
      <c r="Q7" s="11" t="inlineStr"/>
      <c r="R7" s="11" t="inlineStr">
        <is>
          <t>Sim</t>
        </is>
      </c>
      <c r="S7" s="11" t="inlineStr">
        <is>
          <t>CD01-Realizar Troca e Zerar Vale Gerado
CD15-Realizar Troca em Base Central
CD17-Realizar Troca de uma venda realizada com Desconto
(+2 mais)</t>
        </is>
      </c>
      <c r="T7" s="11" t="inlineStr"/>
      <c r="U7" s="11" t="inlineStr"/>
      <c r="V7" s="11" t="inlineStr"/>
      <c r="W7" s="11" t="inlineStr">
        <is>
          <t>Flavia Doge</t>
        </is>
      </c>
      <c r="X7" s="11" t="inlineStr">
        <is>
          <t>Jean Carlos</t>
        </is>
      </c>
      <c r="Y7" s="11" t="inlineStr"/>
      <c r="Z7" s="11" t="inlineStr"/>
      <c r="AA7" s="12" t="inlineStr">
        <is>
          <t>17/03/2026</t>
        </is>
      </c>
    </row>
    <row r="8" ht="40" customHeight="1">
      <c r="A8" s="4" t="inlineStr">
        <is>
          <t>MODAJOI-100578</t>
        </is>
      </c>
      <c r="B8" s="5" t="inlineStr">
        <is>
          <t>Valor mínimo para resgate incorreto no venda fácil, comparando a configuração do fidelidade no Reshop.</t>
        </is>
      </c>
      <c r="C8" s="5" t="inlineStr">
        <is>
          <t>Concluída</t>
        </is>
      </c>
      <c r="D8" s="5" t="inlineStr">
        <is>
          <t>P1 - Alto</t>
        </is>
      </c>
      <c r="E8" s="6" t="n">
        <v>46092</v>
      </c>
      <c r="F8" s="6" t="n">
        <v>46098</v>
      </c>
      <c r="G8" s="7">
        <f>IF(OR(E8="",F8=""),"",INT(F8-E8))</f>
        <v/>
      </c>
      <c r="H8" s="5" t="inlineStr">
        <is>
          <t>Kassia Mabily Fraga Souza</t>
        </is>
      </c>
      <c r="I8" s="5" t="inlineStr">
        <is>
          <t>Déborah Brenda Dos Santos</t>
        </is>
      </c>
      <c r="J8" s="5" t="n">
        <v>1</v>
      </c>
      <c r="K8" s="5" t="inlineStr">
        <is>
          <t>Valor mínimo para resgate incorreto no venda fácil, comparando a configuração do fidelidade no Reshop.</t>
        </is>
      </c>
      <c r="L8" s="9" t="inlineStr">
        <is>
          <t>FatInt</t>
        </is>
      </c>
      <c r="M8" s="9" t="inlineStr">
        <is>
          <t>Venda Fácil</t>
        </is>
      </c>
      <c r="N8" s="9" t="inlineStr">
        <is>
          <t>Sistema</t>
        </is>
      </c>
      <c r="O8" s="10" t="inlineStr">
        <is>
          <t>[Alteração no código] Causa Na tela de resgate por pontos, o “valor mínimo de resgate” exibido estava confundindo a regra: o sistema acabava apresentando incorretamente um valor relacionado a pontos (ou a conversão/limite) quando, na prática, existem regras distintas: - Valor mínimo da venda para permitir resgate; - Limite percentual de resgate sobre o valor da venda; - Valor mínimo (em R$) par...</t>
        </is>
      </c>
      <c r="P8" s="11" t="inlineStr"/>
      <c r="Q8" s="11" t="inlineStr"/>
      <c r="R8" s="11" t="inlineStr">
        <is>
          <t>Sim</t>
        </is>
      </c>
      <c r="S8" s="11" t="inlineStr">
        <is>
          <t>CD013-Venda de Produtos com Valor Inferior ao Mínimo Para Isenção da Taxa de Entrega
CD014-Venda de Produtos com Valor Total Superior ao Mínimo Para Entrega Grátis + Desconto Totalizando Valor Abaixo do Mínimo Para Entrega Grátis
CD018-Venda de Produtos com Valor Total Abaixo do Minimo Para Pedido
(+2 mais)</t>
        </is>
      </c>
      <c r="T8" s="11" t="inlineStr"/>
      <c r="U8" s="11" t="inlineStr"/>
      <c r="V8" s="11" t="inlineStr"/>
      <c r="W8" s="11" t="inlineStr">
        <is>
          <t>Daiane</t>
        </is>
      </c>
      <c r="X8" s="11" t="inlineStr">
        <is>
          <t>Gisele</t>
        </is>
      </c>
      <c r="Y8" s="11" t="inlineStr"/>
      <c r="Z8" s="11" t="inlineStr"/>
      <c r="AA8" s="12" t="inlineStr">
        <is>
          <t>17/03/2026</t>
        </is>
      </c>
    </row>
    <row r="9" ht="40" customHeight="1">
      <c r="A9" s="4" t="inlineStr">
        <is>
          <t>MODAJOI-100461</t>
        </is>
      </c>
      <c r="B9" s="5" t="inlineStr">
        <is>
          <t>Ao abrir POS e na tela inicial, após curto tempo consta mensagem de erro:</t>
        </is>
      </c>
      <c r="C9" s="5" t="inlineStr">
        <is>
          <t>Concluída</t>
        </is>
      </c>
      <c r="D9" s="5" t="inlineStr">
        <is>
          <t>P1 - Alto</t>
        </is>
      </c>
      <c r="E9" s="6" t="n">
        <v>46087</v>
      </c>
      <c r="F9" s="6" t="n">
        <v>46098</v>
      </c>
      <c r="G9" s="7">
        <f>IF(OR(E9="",F9=""),"",INT(F9-E9))</f>
        <v/>
      </c>
      <c r="H9" s="5" t="inlineStr">
        <is>
          <t xml:space="preserve">Joao Vinicius Souza Goncalves </t>
        </is>
      </c>
      <c r="I9" s="5" t="inlineStr"/>
      <c r="J9" s="5" t="n">
        <v>1</v>
      </c>
      <c r="K9" s="5" t="inlineStr">
        <is>
          <t>Ao abrir POS e na tela inicial, após curto tempo consta mensagem de erro:</t>
        </is>
      </c>
      <c r="L9" s="9" t="inlineStr">
        <is>
          <t>FatInt</t>
        </is>
      </c>
      <c r="M9" s="9" t="inlineStr">
        <is>
          <t>Venda Fácil</t>
        </is>
      </c>
      <c r="N9" s="9" t="inlineStr">
        <is>
          <t>Sistema</t>
        </is>
      </c>
      <c r="O9" s="10" t="inlineStr">
        <is>
          <t>Realizado ajuste nos produtos, pois haviam mais de 1600 produtos definidos como catálogo. Deste modo, ocasionava travamentos dado o alto volume. Após o ajuste, o erro cessou. Trataremos o problema em sua causa raiz através de uma melhoria que será aberta.</t>
        </is>
      </c>
      <c r="P9" s="11" t="inlineStr"/>
      <c r="Q9" s="11" t="inlineStr"/>
      <c r="R9" s="11" t="inlineStr">
        <is>
          <t>Sim</t>
        </is>
      </c>
      <c r="S9" s="13" t="inlineStr">
        <is>
          <t>CD03-Venda NF Consumidor após Acessa Vendas em Aberto e Voltar para Tela Inicial
Tela Inicial
CD12-Venda NFC-e com as Forma de Pagamento: POS Connect
(+2 mais)</t>
        </is>
      </c>
      <c r="T9" s="11" t="inlineStr"/>
      <c r="U9" s="11" t="inlineStr"/>
      <c r="V9" s="11" t="inlineStr"/>
      <c r="W9" s="11" t="inlineStr">
        <is>
          <t>Daiane</t>
        </is>
      </c>
      <c r="X9" s="11" t="inlineStr">
        <is>
          <t>Gisele</t>
        </is>
      </c>
      <c r="Y9" s="11" t="inlineStr"/>
      <c r="Z9" s="11" t="inlineStr"/>
      <c r="AA9" s="12" t="inlineStr">
        <is>
          <t>17/03/2026</t>
        </is>
      </c>
    </row>
    <row r="10" ht="40" customHeight="1">
      <c r="A10" s="4" t="inlineStr">
        <is>
          <t>MODAJOI-100776</t>
        </is>
      </c>
      <c r="B10" s="5" t="inlineStr">
        <is>
          <t>Conciliador bancário: Erro ao desconciliar faturas e lançamentos contábeis: Execution Timeout Expired. ==================================</t>
        </is>
      </c>
      <c r="C10" s="5" t="inlineStr">
        <is>
          <t>Concluída</t>
        </is>
      </c>
      <c r="D10" s="5" t="inlineStr">
        <is>
          <t>P1 - Alto</t>
        </is>
      </c>
      <c r="E10" s="6" t="n">
        <v>46094</v>
      </c>
      <c r="F10" s="6" t="n">
        <v>46097</v>
      </c>
      <c r="G10" s="7">
        <f>IF(OR(E10="",F10=""),"",INT(F10-E10))</f>
        <v/>
      </c>
      <c r="H10" s="5" t="inlineStr">
        <is>
          <t>Marcos Felipe Dantas Da Costa</t>
        </is>
      </c>
      <c r="I10" s="5" t="inlineStr"/>
      <c r="J10" s="5" t="n">
        <v>1</v>
      </c>
      <c r="K10" s="5" t="inlineStr">
        <is>
          <t>Conciliador bancário: Erro ao desconciliar faturas e lançamentos contábeis: Execution Timeout Expired. ==================================</t>
        </is>
      </c>
      <c r="L10" s="9" t="inlineStr">
        <is>
          <t>FFC</t>
        </is>
      </c>
      <c r="M10" s="9" t="inlineStr">
        <is>
          <t>Gestão Financeira</t>
        </is>
      </c>
      <c r="N10" s="9" t="inlineStr">
        <is>
          <t>Banco de Dados</t>
        </is>
      </c>
      <c r="O10" s="10" t="inlineStr">
        <is>
          <t>The Tempo Account was changed to Nao Capitalizavel (Opex) by the Scriptrunner validation script</t>
        </is>
      </c>
      <c r="P10" s="11" t="inlineStr"/>
      <c r="Q10" s="11" t="inlineStr"/>
      <c r="R10" s="11" t="inlineStr">
        <is>
          <t>Sim</t>
        </is>
      </c>
      <c r="S10" s="11" t="inlineStr">
        <is>
          <t>CD14-Validar Conciliacao Automatica Fatura Lançada no Contas a Pagar e Já Baixada pelo Gestão Financeira
Agrupar Faturas
CD01 - Acessar Tela Conciliador de Cartoes
(+2 mais)</t>
        </is>
      </c>
      <c r="T10" s="11" t="inlineStr"/>
      <c r="U10" s="11" t="inlineStr"/>
      <c r="V10" s="11" t="inlineStr"/>
      <c r="W10" s="11" t="inlineStr">
        <is>
          <t>Michelle Pereira</t>
        </is>
      </c>
      <c r="X10" s="11" t="inlineStr">
        <is>
          <t>Fabio Elias</t>
        </is>
      </c>
      <c r="Y10" s="11" t="inlineStr"/>
      <c r="Z10" s="11" t="inlineStr"/>
      <c r="AA10" s="12" t="inlineStr">
        <is>
          <t>16/03/2026</t>
        </is>
      </c>
    </row>
    <row r="11" ht="40" customHeight="1">
      <c r="A11" s="4" t="inlineStr">
        <is>
          <t>MODAJOI-100270</t>
        </is>
      </c>
      <c r="B11" s="5" t="inlineStr">
        <is>
          <t>Venda Fácil - Erro Undefined ao Pesquisar o Serviços pelo Nome</t>
        </is>
      </c>
      <c r="C11" s="5" t="inlineStr">
        <is>
          <t>Concluída</t>
        </is>
      </c>
      <c r="D11" s="5" t="inlineStr">
        <is>
          <t>P1 - Alto</t>
        </is>
      </c>
      <c r="E11" s="6" t="n">
        <v>46084</v>
      </c>
      <c r="F11" s="6" t="n">
        <v>46092</v>
      </c>
      <c r="G11" s="7">
        <f>IF(OR(E11="",F11=""),"",INT(F11-E11))</f>
        <v/>
      </c>
      <c r="H11" s="5" t="inlineStr">
        <is>
          <t>Fernando Sutter</t>
        </is>
      </c>
      <c r="I11" s="5" t="inlineStr">
        <is>
          <t>Geovane Schmitt</t>
        </is>
      </c>
      <c r="J11" s="8" t="n">
        <v>9</v>
      </c>
      <c r="K11" s="5" t="inlineStr">
        <is>
          <t>Venda Fácil - Erro Undefined ao Pesquisar o Serviços pelo Nome</t>
        </is>
      </c>
      <c r="L11" s="9" t="inlineStr">
        <is>
          <t>FatInt</t>
        </is>
      </c>
      <c r="M11" s="9" t="inlineStr">
        <is>
          <t>Venda Fácil</t>
        </is>
      </c>
      <c r="N11" s="9" t="inlineStr">
        <is>
          <t>Banco de Dados</t>
        </is>
      </c>
      <c r="O11" s="10" t="inlineStr">
        <is>
          <t>[Alteração no código] Tratamento para buscar o alias correto da tabela de produtos/serviços</t>
        </is>
      </c>
      <c r="P11" s="11" t="inlineStr"/>
      <c r="Q11" s="11" t="inlineStr"/>
      <c r="R11" s="11" t="inlineStr">
        <is>
          <t>Sim</t>
        </is>
      </c>
      <c r="S11" s="11" t="inlineStr">
        <is>
          <t>CD001-Pre Venda 1 Servico Pgto Parcial Debito
CD002-Pre Venda de Servico + Produto com desconto para cliente novo
CD003-Pre Venda Com Pagamento Credito
(+2 mais)</t>
        </is>
      </c>
      <c r="T11" s="11" t="inlineStr"/>
      <c r="U11" s="11" t="inlineStr"/>
      <c r="V11" s="11" t="inlineStr"/>
      <c r="W11" s="11" t="inlineStr">
        <is>
          <t>Daiane</t>
        </is>
      </c>
      <c r="X11" s="11" t="inlineStr">
        <is>
          <t>Gisele</t>
        </is>
      </c>
      <c r="Y11" s="11" t="inlineStr"/>
      <c r="Z11" s="11" t="inlineStr"/>
      <c r="AA11" s="12" t="inlineStr">
        <is>
          <t>14/03/2026</t>
        </is>
      </c>
    </row>
    <row r="12" ht="40" customHeight="1">
      <c r="A12" s="4" t="inlineStr">
        <is>
          <t>MODAJOI-99893</t>
        </is>
      </c>
      <c r="B12" s="5" t="inlineStr">
        <is>
          <t>Venda Fácil - TEF - Não foi possível se comunicar com o Scarf.</t>
        </is>
      </c>
      <c r="C12" s="5" t="inlineStr">
        <is>
          <t>Concluída</t>
        </is>
      </c>
      <c r="D12" s="5" t="inlineStr">
        <is>
          <t>P1 - Alto</t>
        </is>
      </c>
      <c r="E12" s="6" t="n">
        <v>46074</v>
      </c>
      <c r="F12" s="6" t="n">
        <v>46094</v>
      </c>
      <c r="G12" s="7">
        <f>IF(OR(E12="",F12=""),"",INT(F12-E12))</f>
        <v/>
      </c>
      <c r="H12" s="5" t="inlineStr">
        <is>
          <t>Fernando Sutter</t>
        </is>
      </c>
      <c r="I12" s="5" t="inlineStr"/>
      <c r="J12" s="14" t="n">
        <v>4</v>
      </c>
      <c r="K12" s="5" t="inlineStr">
        <is>
          <t>Venda Fácil - TEF - Não foi possível se comunicar com o Scarf.</t>
        </is>
      </c>
      <c r="L12" s="9" t="inlineStr">
        <is>
          <t>FatInt</t>
        </is>
      </c>
      <c r="M12" s="9" t="inlineStr">
        <is>
          <t>Venda Fácil</t>
        </is>
      </c>
      <c r="N12" s="9" t="inlineStr">
        <is>
          <t>Banco de Dados</t>
        </is>
      </c>
      <c r="O12" s="10" t="inlineStr">
        <is>
          <t>Orientações passadas pelo Teams acerca do "AccessViolationException"</t>
        </is>
      </c>
      <c r="P12" s="11" t="inlineStr"/>
      <c r="Q12" s="11" t="inlineStr"/>
      <c r="R12" s="11" t="inlineStr">
        <is>
          <t>Sim</t>
        </is>
      </c>
      <c r="S12" s="11" t="inlineStr">
        <is>
          <t>CD45-Venda Facil SmartPOS com Cartao Nao TEF- MODAJOI-89119
CD001-PV PF 1 Produto Sem Pagamento
CD001-Pre Venda 1 Servico Pgto Parcial Debito
(+2 mais)</t>
        </is>
      </c>
      <c r="T12" s="11" t="inlineStr"/>
      <c r="U12" s="11" t="inlineStr"/>
      <c r="V12" s="11" t="inlineStr"/>
      <c r="W12" s="11" t="inlineStr">
        <is>
          <t>Daiane</t>
        </is>
      </c>
      <c r="X12" s="11" t="inlineStr">
        <is>
          <t>Gisele</t>
        </is>
      </c>
      <c r="Y12" s="11" t="inlineStr"/>
      <c r="Z12" s="11" t="inlineStr"/>
      <c r="AA12" s="12" t="inlineStr">
        <is>
          <t>14/03/2026</t>
        </is>
      </c>
    </row>
    <row r="13" ht="40" customHeight="1">
      <c r="A13" s="4" t="inlineStr">
        <is>
          <t>MODAJOI-100066</t>
        </is>
      </c>
      <c r="B13" s="5" t="inlineStr">
        <is>
          <t>Relatório de detalhamento de custos duplica valor de FCP -ERP</t>
        </is>
      </c>
      <c r="C13" s="5" t="inlineStr">
        <is>
          <t>Concluída</t>
        </is>
      </c>
      <c r="D13" s="5" t="inlineStr">
        <is>
          <t>P1 - Alto</t>
        </is>
      </c>
      <c r="E13" s="6" t="n">
        <v>46078</v>
      </c>
      <c r="F13" s="6" t="n">
        <v>46092</v>
      </c>
      <c r="G13" s="7">
        <f>IF(OR(E13="",F13=""),"",INT(F13-E13))</f>
        <v/>
      </c>
      <c r="H13" s="5" t="inlineStr">
        <is>
          <t>Jhony Kennyth Viebrantz</t>
        </is>
      </c>
      <c r="I13" s="5" t="inlineStr">
        <is>
          <t>Caroline Becker Gonçalves Corrêa</t>
        </is>
      </c>
      <c r="J13" s="5" t="n">
        <v>1</v>
      </c>
      <c r="K13" s="5" t="inlineStr"/>
      <c r="L13" s="9" t="inlineStr">
        <is>
          <t>Suprimentos</t>
        </is>
      </c>
      <c r="M13" s="9" t="inlineStr"/>
      <c r="N13" s="9" t="inlineStr">
        <is>
          <t>Banco de Dados</t>
        </is>
      </c>
      <c r="O13" s="10" t="inlineStr">
        <is>
          <t>[Alteração no código] Feito o ajuste conforme Épico MODAJOI-31323 onde é tratado para calcular o FcpStAntecipado quando houver FCPST.</t>
        </is>
      </c>
      <c r="P13" s="11" t="inlineStr"/>
      <c r="Q13" s="11" t="inlineStr"/>
      <c r="R13" s="11" t="inlineStr">
        <is>
          <t>Sim</t>
        </is>
      </c>
      <c r="S13" s="11" t="inlineStr">
        <is>
          <t>CD03-Emissao Do Relatorio Detalhamento de Custos - Apenas Nota de Entrada
CD01-Emissao Do Relatorio Detalhamento de Custos
CD02-Emissao Do Relatorio Detalhamento de Custos - Verificar Coluna Nota Origem
(+2 mais)</t>
        </is>
      </c>
      <c r="T13" s="11" t="inlineStr"/>
      <c r="U13" s="11" t="inlineStr"/>
      <c r="V13" s="11" t="inlineStr"/>
      <c r="W13" s="11" t="inlineStr"/>
      <c r="X13" s="11" t="inlineStr"/>
      <c r="Y13" s="11" t="inlineStr"/>
      <c r="Z13" s="11" t="inlineStr"/>
      <c r="AA13" s="12" t="inlineStr">
        <is>
          <t>14/03/2026</t>
        </is>
      </c>
    </row>
    <row r="14" ht="40" customHeight="1">
      <c r="A14" s="4" t="inlineStr">
        <is>
          <t>MODAJOI-100533</t>
        </is>
      </c>
      <c r="B14" s="5" t="inlineStr">
        <is>
          <t>ERP - Erro ao selecionar itens para devolução de compra fácil ==================================</t>
        </is>
      </c>
      <c r="C14" s="5" t="inlineStr">
        <is>
          <t>Concluída</t>
        </is>
      </c>
      <c r="D14" s="5" t="inlineStr">
        <is>
          <t>P1 - Alto</t>
        </is>
      </c>
      <c r="E14" s="6" t="n">
        <v>46091</v>
      </c>
      <c r="F14" s="6" t="n">
        <v>46092</v>
      </c>
      <c r="G14" s="7">
        <f>IF(OR(E14="",F14=""),"",INT(F14-E14))</f>
        <v/>
      </c>
      <c r="H14" s="5" t="inlineStr">
        <is>
          <t>Mariana Franco Fernandes</t>
        </is>
      </c>
      <c r="I14" s="5" t="inlineStr"/>
      <c r="J14" s="5" t="n">
        <v>1</v>
      </c>
      <c r="K14" s="5" t="inlineStr">
        <is>
          <t>ERP - Erro ao selecionar itens para devolução de compra fácil ==================================</t>
        </is>
      </c>
      <c r="L14" s="9" t="inlineStr">
        <is>
          <t>FFC</t>
        </is>
      </c>
      <c r="M14" s="9" t="inlineStr">
        <is>
          <t>NF-e</t>
        </is>
      </c>
      <c r="N14" s="9" t="inlineStr">
        <is>
          <t>Banco de Dados</t>
        </is>
      </c>
      <c r="O14" s="10" t="inlineStr">
        <is>
          <t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      </is>
      </c>
      <c r="P14" s="11" t="inlineStr"/>
      <c r="Q14" s="11" t="inlineStr"/>
      <c r="R14" s="11" t="inlineStr">
        <is>
          <t>Sim</t>
        </is>
      </c>
      <c r="S14" s="11" t="inlineStr">
        <is>
          <t>CD01-Entrada de Recusa de Devolução de Compra
CD12 - Gerar nota de devolução de compra selecionando o documento de origem após a inserção dos itens
CD13 - Gerar nota de devolução de compra com CFOP 5949 e validar no XML a tag "finNFe" = 1
(+2 mais)</t>
        </is>
      </c>
      <c r="T14" s="11" t="inlineStr"/>
      <c r="U14" s="11" t="inlineStr"/>
      <c r="V14" s="11" t="inlineStr"/>
      <c r="W14" s="11" t="inlineStr">
        <is>
          <t>Flavia Doge</t>
        </is>
      </c>
      <c r="X14" s="11" t="inlineStr">
        <is>
          <t>Jean Carlos</t>
        </is>
      </c>
      <c r="Y14" s="11" t="inlineStr"/>
      <c r="Z14" s="11" t="inlineStr"/>
      <c r="AA14" s="12" t="inlineStr">
        <is>
          <t>14/03/2026</t>
        </is>
      </c>
    </row>
    <row r="15" ht="40" customHeight="1">
      <c r="A15" s="4" t="inlineStr">
        <is>
          <t>MODAJOI-100597</t>
        </is>
      </c>
      <c r="B15" s="5" t="inlineStr">
        <is>
          <t>Erro SQL ao acessar Portal ==================================</t>
        </is>
      </c>
      <c r="C15" s="5" t="inlineStr">
        <is>
          <t>Concluída</t>
        </is>
      </c>
      <c r="D15" s="5" t="inlineStr">
        <is>
          <t>P1 - Alto</t>
        </is>
      </c>
      <c r="E15" s="6" t="n">
        <v>46092</v>
      </c>
      <c r="F15" s="6" t="n">
        <v>46092</v>
      </c>
      <c r="G15" s="7">
        <f>IF(OR(E15="",F15=""),"",INT(F15-E15))</f>
        <v/>
      </c>
      <c r="H15" s="5" t="inlineStr">
        <is>
          <t>Nelson Campagnaro Junior</t>
        </is>
      </c>
      <c r="I15" s="5" t="inlineStr">
        <is>
          <t>Nelson Campagnaro Junior</t>
        </is>
      </c>
      <c r="J15" s="5" t="n">
        <v>1</v>
      </c>
      <c r="K15" s="5" t="inlineStr">
        <is>
          <t>Erro SQL ao acessar Portal ==================================</t>
        </is>
      </c>
      <c r="L15" s="9" t="inlineStr">
        <is>
          <t>Não Mapeado</t>
        </is>
      </c>
      <c r="M15" s="9" t="inlineStr">
        <is>
          <t>Não Mapeado</t>
        </is>
      </c>
      <c r="N15" s="9" t="inlineStr">
        <is>
          <t>Configuração</t>
        </is>
      </c>
      <c r="O15" s="10" t="inlineStr">
        <is>
          <t>Erro de banco de dados causado na reativação do portal via MODAJOI-99848.</t>
        </is>
      </c>
      <c r="P15" s="11" t="inlineStr"/>
      <c r="Q15" s="11" t="inlineStr"/>
      <c r="R15" s="11" t="inlineStr">
        <is>
          <t>Sim</t>
        </is>
      </c>
      <c r="S15" s="11" t="inlineStr">
        <is>
          <t>CD05-Acessar Venda Facil SmartPOS - MODAJOI-59726
CD001-PV PF 1 Produto Sem Pagamento
CD001-Pre Venda 1 Servico Pgto Parcial Debito
(+2 mais)</t>
        </is>
      </c>
      <c r="T15" s="11" t="inlineStr"/>
      <c r="U15" s="11" t="inlineStr"/>
      <c r="V15" s="11" t="inlineStr"/>
      <c r="W15" s="11" t="inlineStr"/>
      <c r="X15" s="11" t="inlineStr"/>
      <c r="Y15" s="11" t="inlineStr"/>
      <c r="Z15" s="11" t="inlineStr"/>
      <c r="AA15" s="12" t="inlineStr">
        <is>
          <t>14/03/2026</t>
        </is>
      </c>
    </row>
    <row r="16" ht="40" customHeight="1">
      <c r="A16" s="4" t="inlineStr">
        <is>
          <t>MODAJOI-100650</t>
        </is>
      </c>
      <c r="B16" s="5" t="inlineStr">
        <is>
          <t>ERP - venda não apresenta os dois seguros vendidos ==================================</t>
        </is>
      </c>
      <c r="C16" s="5" t="inlineStr">
        <is>
          <t>Concluída</t>
        </is>
      </c>
      <c r="D16" s="5" t="inlineStr">
        <is>
          <t>P1 - Alto</t>
        </is>
      </c>
      <c r="E16" s="6" t="n">
        <v>46093</v>
      </c>
      <c r="F16" s="6" t="n">
        <v>46093</v>
      </c>
      <c r="G16" s="7">
        <f>IF(OR(E16="",F16=""),"",INT(F16-E16))</f>
        <v/>
      </c>
      <c r="H16" s="5" t="inlineStr">
        <is>
          <t>Anderson Petry</t>
        </is>
      </c>
      <c r="I16" s="5" t="inlineStr">
        <is>
          <t>Anderson Petry</t>
        </is>
      </c>
      <c r="J16" s="5" t="n">
        <v>1</v>
      </c>
      <c r="K16" s="5" t="inlineStr">
        <is>
          <t>ERP - venda não apresenta os dois seguros vendidos ==================================</t>
        </is>
      </c>
      <c r="L16" s="9" t="inlineStr">
        <is>
          <t>FFC</t>
        </is>
      </c>
      <c r="M16" s="9" t="inlineStr">
        <is>
          <t>NF-e</t>
        </is>
      </c>
      <c r="N16" s="9" t="inlineStr">
        <is>
          <t>Banco de Dados</t>
        </is>
      </c>
      <c r="O16" s="10" t="inlineStr">
        <is>
          <t>ao verificar no BD os seguros são listados: e ao conferir no relatório também esta listando.</t>
        </is>
      </c>
      <c r="P16" s="11" t="inlineStr"/>
      <c r="Q16" s="11" t="inlineStr"/>
      <c r="R16" s="11" t="inlineStr">
        <is>
          <t>Sim</t>
        </is>
      </c>
      <c r="S16" s="11" t="inlineStr">
        <is>
          <t>CD02-Venda com Dois Itens com Cliente Pessoa Física e Troca
CD04-Faturamento Formas Pagamento Pix + Dois Cartoes Credito
CD08-Venda de dois Servicos com Desconto No Item
(+2 mais)</t>
        </is>
      </c>
      <c r="T16" s="11" t="inlineStr"/>
      <c r="U16" s="11" t="inlineStr"/>
      <c r="V16" s="11" t="inlineStr"/>
      <c r="W16" s="11" t="inlineStr">
        <is>
          <t>Flavia Doge</t>
        </is>
      </c>
      <c r="X16" s="11" t="inlineStr">
        <is>
          <t>Jean Carlos</t>
        </is>
      </c>
      <c r="Y16" s="11" t="inlineStr"/>
      <c r="Z16" s="11" t="inlineStr"/>
      <c r="AA16" s="12" t="inlineStr">
        <is>
          <t>14/03/2026</t>
        </is>
      </c>
    </row>
    <row r="17" ht="40" customHeight="1">
      <c r="A17" s="4" t="inlineStr">
        <is>
          <t>MODAJOI-100566</t>
        </is>
      </c>
      <c r="B17" s="5" t="inlineStr">
        <is>
          <t>Rejeição 929  CST de Diferimento sem informações - ERP</t>
        </is>
      </c>
      <c r="C17" s="5" t="inlineStr">
        <is>
          <t>Concluída</t>
        </is>
      </c>
      <c r="D17" s="5" t="inlineStr">
        <is>
          <t>P1 - Alto</t>
        </is>
      </c>
      <c r="E17" s="6" t="n">
        <v>46091</v>
      </c>
      <c r="F17" s="6" t="n">
        <v>46093</v>
      </c>
      <c r="G17" s="7">
        <f>IF(OR(E17="",F17=""),"",INT(F17-E17))</f>
        <v/>
      </c>
      <c r="H17" s="5" t="inlineStr">
        <is>
          <t>Jhony Kennyth Viebrantz</t>
        </is>
      </c>
      <c r="I17" s="5" t="inlineStr">
        <is>
          <t>Jhony Kennyth Viebrantz</t>
        </is>
      </c>
      <c r="J17" s="5" t="n">
        <v>0</v>
      </c>
      <c r="K17" s="5" t="inlineStr"/>
      <c r="L17" s="9" t="inlineStr">
        <is>
          <t>Suprimentos</t>
        </is>
      </c>
      <c r="M17" s="9" t="inlineStr"/>
      <c r="N17" s="9" t="inlineStr">
        <is>
          <t>Banco de Dados</t>
        </is>
      </c>
      <c r="O17" s="10" t="inlineStr">
        <is>
          <t>Feito a nota pontualmente, pois a correção efetiva sairá na demanda # MODAJOI-100388</t>
        </is>
      </c>
      <c r="P17" s="11" t="inlineStr"/>
      <c r="Q17" s="11" t="inlineStr"/>
      <c r="R17" s="11" t="inlineStr">
        <is>
          <t>Sim</t>
        </is>
      </c>
      <c r="S17" s="11" t="inlineStr">
        <is>
          <t>CD01-Entrada Manual com Rejeicao Nota_Fiscal
CD22-Importar nota e Validar Informações do XML
CD23-Importar nota e Validar Informações do XML na Tela Antiga
(+2 mais)</t>
        </is>
      </c>
      <c r="T17" s="11" t="inlineStr"/>
      <c r="U17" s="11" t="inlineStr"/>
      <c r="V17" s="11" t="inlineStr"/>
      <c r="W17" s="11" t="inlineStr"/>
      <c r="X17" s="11" t="inlineStr"/>
      <c r="Y17" s="11" t="inlineStr"/>
      <c r="Z17" s="11" t="inlineStr"/>
      <c r="AA17" s="12" t="inlineStr">
        <is>
          <t>14/03/2026</t>
        </is>
      </c>
    </row>
    <row r="18" ht="40" customHeight="1">
      <c r="A18" s="4" t="inlineStr">
        <is>
          <t>MODAJOI-100362</t>
        </is>
      </c>
      <c r="B18" s="5" t="inlineStr">
        <is>
          <t>Na rotina ERP &gt; Faturamentos &gt; Exportação de Dados, ao processar a configuração “Electrolux Venda/Cancelamento de Seguros (6461)” no Linx Microvix, as exportações vêm sendo finalizadas de forma int...</t>
        </is>
      </c>
      <c r="C18" s="5" t="inlineStr">
        <is>
          <t>Concluída</t>
        </is>
      </c>
      <c r="D18" s="5" t="inlineStr">
        <is>
          <t>P1 - Alto</t>
        </is>
      </c>
      <c r="E18" s="6" t="n">
        <v>46085</v>
      </c>
      <c r="F18" s="6" t="n">
        <v>46094</v>
      </c>
      <c r="G18" s="7">
        <f>IF(OR(E18="",F18=""),"",INT(F18-E18))</f>
        <v/>
      </c>
      <c r="H18" s="5" t="inlineStr">
        <is>
          <t>Anderson Petry</t>
        </is>
      </c>
      <c r="I18" s="5" t="inlineStr">
        <is>
          <t>Anderson Petry</t>
        </is>
      </c>
      <c r="J18" s="5" t="n">
        <v>0</v>
      </c>
      <c r="K18" s="5" t="inlineStr">
        <is>
          <t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      </is>
      </c>
      <c r="L18" s="9" t="inlineStr">
        <is>
          <t>Não Mapeado</t>
        </is>
      </c>
      <c r="M18" s="9" t="inlineStr">
        <is>
          <t>Não Mapeado</t>
        </is>
      </c>
      <c r="N18" s="9" t="inlineStr">
        <is>
          <t>Configuração</t>
        </is>
      </c>
      <c r="O18" s="10" t="inlineStr">
        <is>
          <t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      </is>
      </c>
      <c r="P18" s="11" t="inlineStr"/>
      <c r="Q18" s="11" t="inlineStr"/>
      <c r="R18" s="11" t="inlineStr">
        <is>
          <t>Sim</t>
        </is>
      </c>
      <c r="S18" s="11" t="inlineStr">
        <is>
          <t>CD23-Venda NFC-e Forma de Pagamento QR Linx
CD01- Alterar Dados da Receita
CD01-Alterar Dados Pedido
(+2 mais)</t>
        </is>
      </c>
      <c r="T18" s="11" t="inlineStr"/>
      <c r="U18" s="11" t="inlineStr"/>
      <c r="V18" s="11" t="inlineStr"/>
      <c r="W18" s="11" t="inlineStr"/>
      <c r="X18" s="11" t="inlineStr"/>
      <c r="Y18" s="11" t="inlineStr"/>
      <c r="Z18" s="11" t="inlineStr"/>
      <c r="AA18" s="12" t="inlineStr">
        <is>
          <t>14/03/2026</t>
        </is>
      </c>
    </row>
  </sheetData>
  <dataValidations count="5">
    <dataValidation sqref="Q2:Q68" showDropDown="0" showInputMessage="0" showErrorMessage="0" allowBlank="1" type="list">
      <formula1>"Código,Banco de Dados,Infraestrutura,Terceiros"</formula1>
    </dataValidation>
    <dataValidation sqref="R2:R68" showDropDown="0" showInputMessage="0" showErrorMessage="0" allowBlank="1" type="list">
      <formula1>"Sim,Não"</formula1>
    </dataValidation>
    <dataValidation sqref="T2:T68" showDropDown="0" showInputMessage="0" showErrorMessage="0" allowBlank="1" type="list">
      <formula1>"Detectou problema,Não detectou,Não se Aplica"</formula1>
    </dataValidation>
    <dataValidation sqref="V2:V68" showDropDown="0" showInputMessage="0" showErrorMessage="0" allowBlank="1" type="list">
      <formula1>"Sim,Não"</formula1>
    </dataValidation>
    <dataValidation sqref="Z2:Z68" showDropDown="0" showInputMessage="0" showErrorMessage="0" allowBlank="1" type="list">
      <formula1>"Sim,Não"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  <hyperlink xmlns:r="http://schemas.openxmlformats.org/officeDocument/2006/relationships" ref="A17" r:id="rId16"/>
    <hyperlink xmlns:r="http://schemas.openxmlformats.org/officeDocument/2006/relationships" ref="A18" r:id="rId17"/>
  </hyperlinks>
  <pageMargins left="0.75" right="0.75" top="1" bottom="1" header="0.5" footer="0.5"/>
  <tableParts count="1">
    <tablePart xmlns:r="http://schemas.openxmlformats.org/officeDocument/2006/relationships" r:id="rId1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22" customWidth="1" min="3" max="3"/>
    <col width="22" customWidth="1" min="4" max="4"/>
    <col width="45" customWidth="1" min="5" max="5"/>
    <col width="18" customWidth="1" min="6" max="6"/>
    <col width="14" customWidth="1" min="7" max="7"/>
    <col width="40" customWidth="1" min="8" max="8"/>
  </cols>
  <sheetData>
    <row r="1" ht="32" customHeight="1">
      <c r="A1" s="15" t="inlineStr">
        <is>
          <t>Issue Acompanhamento</t>
        </is>
      </c>
      <c r="B1" s="15" t="inlineStr">
        <is>
          <t>Issue Original</t>
        </is>
      </c>
      <c r="C1" s="15" t="inlineStr">
        <is>
          <t>Responsável</t>
        </is>
      </c>
      <c r="D1" s="15" t="inlineStr">
        <is>
          <t>Área</t>
        </is>
      </c>
      <c r="E1" s="15" t="inlineStr">
        <is>
          <t>Ação</t>
        </is>
      </c>
      <c r="F1" s="15" t="inlineStr">
        <is>
          <t>Status da Ação</t>
        </is>
      </c>
      <c r="G1" s="15" t="inlineStr">
        <is>
          <t>Data Conclusão</t>
        </is>
      </c>
      <c r="H1" s="15" t="inlineStr">
        <is>
          <t>Observação</t>
        </is>
      </c>
    </row>
    <row r="3" ht="20" customHeight="1">
      <c r="A3" s="16" t="n"/>
      <c r="B3" s="16" t="n"/>
      <c r="C3" s="16" t="n"/>
      <c r="D3" s="16" t="n"/>
      <c r="E3" s="16" t="n"/>
      <c r="F3" s="16" t="n"/>
      <c r="G3" s="16" t="n"/>
      <c r="H3" s="16" t="n"/>
    </row>
    <row r="4" ht="20" customHeight="1">
      <c r="A4" s="16" t="n"/>
      <c r="B4" s="16" t="n"/>
      <c r="C4" s="16" t="n"/>
      <c r="D4" s="16" t="n"/>
      <c r="E4" s="16" t="n"/>
      <c r="F4" s="16" t="n"/>
      <c r="G4" s="16" t="n"/>
      <c r="H4" s="16" t="n"/>
    </row>
    <row r="5" ht="20" customHeight="1">
      <c r="A5" s="16" t="n"/>
      <c r="B5" s="16" t="n"/>
      <c r="C5" s="16" t="n"/>
      <c r="D5" s="16" t="n"/>
      <c r="E5" s="16" t="n"/>
      <c r="F5" s="16" t="n"/>
      <c r="G5" s="16" t="n"/>
      <c r="H5" s="16" t="n"/>
    </row>
    <row r="6" ht="20" customHeight="1">
      <c r="A6" s="16" t="n"/>
      <c r="B6" s="16" t="n"/>
      <c r="C6" s="16" t="n"/>
      <c r="D6" s="16" t="n"/>
      <c r="E6" s="16" t="n"/>
      <c r="F6" s="16" t="n"/>
      <c r="G6" s="16" t="n"/>
      <c r="H6" s="16" t="n"/>
    </row>
    <row r="7" ht="20" customHeight="1">
      <c r="A7" s="16" t="n"/>
      <c r="B7" s="16" t="n"/>
      <c r="C7" s="16" t="n"/>
      <c r="D7" s="16" t="n"/>
      <c r="E7" s="16" t="n"/>
      <c r="F7" s="16" t="n"/>
      <c r="G7" s="16" t="n"/>
      <c r="H7" s="16" t="n"/>
    </row>
    <row r="8" ht="20" customHeight="1">
      <c r="A8" s="16" t="n"/>
      <c r="B8" s="16" t="n"/>
      <c r="C8" s="16" t="n"/>
      <c r="D8" s="16" t="n"/>
      <c r="E8" s="16" t="n"/>
      <c r="F8" s="16" t="n"/>
      <c r="G8" s="16" t="n"/>
      <c r="H8" s="16" t="n"/>
    </row>
    <row r="9" ht="20" customHeight="1">
      <c r="A9" s="16" t="n"/>
      <c r="B9" s="16" t="n"/>
      <c r="C9" s="16" t="n"/>
      <c r="D9" s="16" t="n"/>
      <c r="E9" s="16" t="n"/>
      <c r="F9" s="16" t="n"/>
      <c r="G9" s="16" t="n"/>
      <c r="H9" s="16" t="n"/>
    </row>
    <row r="10" ht="20" customHeight="1">
      <c r="A10" s="16" t="n"/>
      <c r="B10" s="16" t="n"/>
      <c r="C10" s="16" t="n"/>
      <c r="D10" s="16" t="n"/>
      <c r="E10" s="16" t="n"/>
      <c r="F10" s="16" t="n"/>
      <c r="G10" s="16" t="n"/>
      <c r="H10" s="16" t="n"/>
    </row>
    <row r="11" ht="20" customHeight="1">
      <c r="A11" s="16" t="n"/>
      <c r="B11" s="16" t="n"/>
      <c r="C11" s="16" t="n"/>
      <c r="D11" s="16" t="n"/>
      <c r="E11" s="16" t="n"/>
      <c r="F11" s="16" t="n"/>
      <c r="G11" s="16" t="n"/>
      <c r="H11" s="16" t="n"/>
    </row>
    <row r="12" ht="20" customHeight="1">
      <c r="A12" s="16" t="n"/>
      <c r="B12" s="16" t="n"/>
      <c r="C12" s="16" t="n"/>
      <c r="D12" s="16" t="n"/>
      <c r="E12" s="16" t="n"/>
      <c r="F12" s="16" t="n"/>
      <c r="G12" s="16" t="n"/>
      <c r="H12" s="16" t="n"/>
    </row>
    <row r="13" ht="20" customHeight="1">
      <c r="A13" s="16" t="n"/>
      <c r="B13" s="16" t="n"/>
      <c r="C13" s="16" t="n"/>
      <c r="D13" s="16" t="n"/>
      <c r="E13" s="16" t="n"/>
      <c r="F13" s="16" t="n"/>
      <c r="G13" s="16" t="n"/>
      <c r="H13" s="16" t="n"/>
    </row>
  </sheetData>
  <dataValidations count="2">
    <dataValidation sqref="F2:F52" showDropDown="0" showInputMessage="0" showErrorMessage="0" allowBlank="1" type="list">
      <formula1>"Análise,Andamento,Bloqueado,Concluído"</formula1>
    </dataValidation>
    <dataValidation sqref="D2:D52" showDropDown="0" showInputMessage="0" showErrorMessage="0" allowBlank="1" type="list">
      <formula1>"FFC,FatInt,SupCrmImp,RC"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5" customWidth="1" min="3" max="3"/>
    <col width="13" customWidth="1" min="4" max="4"/>
    <col width="14" customWidth="1" min="5" max="5"/>
    <col width="14" customWidth="1" min="6" max="6"/>
    <col width="13" customWidth="1" min="7" max="7"/>
    <col width="40" customWidth="1" min="8" max="8"/>
    <col width="16" customWidth="1" min="9" max="9"/>
    <col width="18" customWidth="1" min="10" max="10"/>
    <col width="40" customWidth="1" min="11" max="11"/>
    <col width="22" customWidth="1" min="12" max="12"/>
    <col width="18" customWidth="1" min="13" max="13"/>
    <col width="14" customWidth="1" min="14" max="14"/>
    <col width="16" customWidth="1" min="15" max="15"/>
  </cols>
  <sheetData>
    <row r="1" ht="32" customHeight="1">
      <c r="A1" s="17" t="inlineStr">
        <is>
          <t>Key</t>
        </is>
      </c>
      <c r="B1" s="17" t="inlineStr">
        <is>
          <t>Resumo</t>
        </is>
      </c>
      <c r="C1" s="17" t="inlineStr">
        <is>
          <t>Status Jira</t>
        </is>
      </c>
      <c r="D1" s="17" t="inlineStr">
        <is>
          <t>Prioridade</t>
        </is>
      </c>
      <c r="E1" s="17" t="inlineStr">
        <is>
          <t>Data Criação</t>
        </is>
      </c>
      <c r="F1" s="17" t="inlineStr">
        <is>
          <t>Data Resolução</t>
        </is>
      </c>
      <c r="G1" s="17" t="inlineStr">
        <is>
          <t>Qtd Vínculos</t>
        </is>
      </c>
      <c r="H1" s="17" t="inlineStr">
        <is>
          <t>Causa Raiz</t>
        </is>
      </c>
      <c r="I1" s="17" t="inlineStr">
        <is>
          <t>Time</t>
        </is>
      </c>
      <c r="J1" s="17" t="inlineStr">
        <is>
          <t>Tipo Erro (Auto)</t>
        </is>
      </c>
      <c r="K1" s="17" t="inlineStr">
        <is>
          <t>Análise da Causa</t>
        </is>
      </c>
      <c r="L1" s="17" t="inlineStr">
        <is>
          <t>Tipo de Ajuste</t>
        </is>
      </c>
      <c r="M1" s="17" t="inlineStr">
        <is>
          <t>Problema Resolvido?</t>
        </is>
      </c>
      <c r="N1" s="17" t="inlineStr">
        <is>
          <t>Data Filtragem</t>
        </is>
      </c>
      <c r="O1" s="17" t="inlineStr">
        <is>
          <t>Data Arquivamento</t>
        </is>
      </c>
    </row>
    <row r="4">
      <c r="A4" s="18" t="inlineStr">
        <is>
          <t>ℹ️ Issues com Analisado=Sim importadas há mais de 30 dias são movidas para esta aba automaticamente.</t>
        </is>
      </c>
    </row>
  </sheetData>
  <mergeCells count="1">
    <mergeCell ref="A4:O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2" customHeight="1">
      <c r="A1" s="15" t="inlineStr">
        <is>
          <t>Time</t>
        </is>
      </c>
      <c r="B1" s="15" t="inlineStr">
        <is>
          <t>Área</t>
        </is>
      </c>
      <c r="C1" s="15" t="inlineStr">
        <is>
          <t>QA Principal</t>
        </is>
      </c>
      <c r="D1" s="15" t="inlineStr">
        <is>
          <t>QA Secundário</t>
        </is>
      </c>
      <c r="E1" s="15" t="inlineStr">
        <is>
          <t>Dev Principal</t>
        </is>
      </c>
      <c r="F1" s="15" t="inlineStr">
        <is>
          <t>Dev Secundário</t>
        </is>
      </c>
    </row>
    <row r="2">
      <c r="A2" s="19" t="inlineStr">
        <is>
          <t>Suprimentos</t>
        </is>
      </c>
      <c r="B2" s="19" t="inlineStr">
        <is>
          <t>Entrada XML</t>
        </is>
      </c>
      <c r="C2" s="19" t="inlineStr">
        <is>
          <t>Jenifer Lopes</t>
        </is>
      </c>
      <c r="D2" s="19" t="inlineStr">
        <is>
          <t>Guilherme Rocha</t>
        </is>
      </c>
      <c r="E2" s="19" t="inlineStr">
        <is>
          <t>Vinícius Souza Martins</t>
        </is>
      </c>
      <c r="F2" s="19" t="inlineStr">
        <is>
          <t>Willian Dias Brito</t>
        </is>
      </c>
    </row>
    <row r="3">
      <c r="A3" s="20" t="inlineStr">
        <is>
          <t>Suprimentos</t>
        </is>
      </c>
      <c r="B3" s="20" t="inlineStr">
        <is>
          <t>Balanço</t>
        </is>
      </c>
      <c r="C3" s="20" t="inlineStr">
        <is>
          <t>Ana Paula Coelho</t>
        </is>
      </c>
      <c r="D3" s="20" t="inlineStr">
        <is>
          <t>Guilherme Rocha</t>
        </is>
      </c>
      <c r="E3" s="20" t="inlineStr">
        <is>
          <t>Willian Dias Brito</t>
        </is>
      </c>
      <c r="F3" s="20" t="inlineStr">
        <is>
          <t>João Vitor Leone</t>
        </is>
      </c>
    </row>
    <row r="4">
      <c r="A4" s="19" t="inlineStr">
        <is>
          <t>Suprimentos</t>
        </is>
      </c>
      <c r="B4" s="19" t="inlineStr">
        <is>
          <t>Compras 2.0</t>
        </is>
      </c>
      <c r="C4" s="19" t="inlineStr">
        <is>
          <t>Guilherme Rocha</t>
        </is>
      </c>
      <c r="D4" s="19" t="inlineStr">
        <is>
          <t>Jenifer Lopes</t>
        </is>
      </c>
      <c r="E4" s="19" t="inlineStr">
        <is>
          <t>Rafael Flecha</t>
        </is>
      </c>
      <c r="F4" s="19" t="inlineStr">
        <is>
          <t>Mauricio Maia</t>
        </is>
      </c>
    </row>
    <row r="5">
      <c r="A5" s="20" t="inlineStr">
        <is>
          <t>FFC</t>
        </is>
      </c>
      <c r="B5" s="20" t="inlineStr">
        <is>
          <t>Conciliadores</t>
        </is>
      </c>
      <c r="C5" s="20" t="inlineStr">
        <is>
          <t>Michelle Pereira</t>
        </is>
      </c>
      <c r="D5" s="20" t="inlineStr"/>
      <c r="E5" s="20" t="n"/>
      <c r="F5" s="20" t="inlineStr"/>
    </row>
    <row r="6">
      <c r="A6" s="19" t="inlineStr">
        <is>
          <t>FFC</t>
        </is>
      </c>
      <c r="B6" s="19" t="inlineStr">
        <is>
          <t>Gestão Financeira</t>
        </is>
      </c>
      <c r="C6" s="19" t="inlineStr">
        <is>
          <t>Michelle Pereira</t>
        </is>
      </c>
      <c r="D6" s="19" t="inlineStr"/>
      <c r="E6" s="19" t="inlineStr">
        <is>
          <t>Fabio Elias</t>
        </is>
      </c>
      <c r="F6" s="19" t="inlineStr"/>
    </row>
    <row r="7">
      <c r="A7" s="20" t="inlineStr">
        <is>
          <t>FFC</t>
        </is>
      </c>
      <c r="B7" s="20" t="inlineStr">
        <is>
          <t>NF-e</t>
        </is>
      </c>
      <c r="C7" s="20" t="inlineStr">
        <is>
          <t>Flavia Doge</t>
        </is>
      </c>
      <c r="D7" s="20" t="inlineStr"/>
      <c r="E7" s="20" t="inlineStr">
        <is>
          <t>Jean Carlos</t>
        </is>
      </c>
      <c r="F7" s="20" t="inlineStr"/>
    </row>
    <row r="8">
      <c r="A8" s="19" t="inlineStr">
        <is>
          <t>FFC</t>
        </is>
      </c>
      <c r="B8" s="19" t="inlineStr">
        <is>
          <t>Rejeições</t>
        </is>
      </c>
      <c r="C8" s="19" t="inlineStr">
        <is>
          <t>Flavia Doge</t>
        </is>
      </c>
      <c r="D8" s="19" t="inlineStr"/>
      <c r="E8" s="19" t="inlineStr">
        <is>
          <t>Jean Carlos</t>
        </is>
      </c>
      <c r="F8" s="19" t="inlineStr"/>
    </row>
    <row r="9">
      <c r="A9" s="20" t="inlineStr">
        <is>
          <t>FFC</t>
        </is>
      </c>
      <c r="B9" s="20" t="inlineStr">
        <is>
          <t>Conferencia de Caixa</t>
        </is>
      </c>
      <c r="C9" s="20" t="inlineStr">
        <is>
          <t>Flavia Doge</t>
        </is>
      </c>
      <c r="D9" s="20" t="inlineStr"/>
      <c r="E9" s="20" t="inlineStr">
        <is>
          <t>Jean Carlos</t>
        </is>
      </c>
      <c r="F9" s="20" t="inlineStr"/>
    </row>
    <row r="10">
      <c r="A10" s="19" t="inlineStr">
        <is>
          <t>FatInt</t>
        </is>
      </c>
      <c r="B10" s="19" t="inlineStr">
        <is>
          <t>POS</t>
        </is>
      </c>
      <c r="C10" s="19" t="inlineStr">
        <is>
          <t>Vicente</t>
        </is>
      </c>
      <c r="D10" s="19" t="inlineStr">
        <is>
          <t>Daiane</t>
        </is>
      </c>
      <c r="E10" s="19" t="inlineStr">
        <is>
          <t>Luis</t>
        </is>
      </c>
      <c r="F10" s="19" t="inlineStr"/>
    </row>
    <row r="11">
      <c r="A11" s="20" t="inlineStr">
        <is>
          <t>FatInt</t>
        </is>
      </c>
      <c r="B11" s="20" t="inlineStr">
        <is>
          <t>Venda Fácil</t>
        </is>
      </c>
      <c r="C11" s="20" t="inlineStr">
        <is>
          <t>Daiane</t>
        </is>
      </c>
      <c r="D11" s="20" t="inlineStr">
        <is>
          <t>Vicente</t>
        </is>
      </c>
      <c r="E11" s="20" t="inlineStr">
        <is>
          <t>Gisele</t>
        </is>
      </c>
      <c r="F11" s="20" t="inlineStr"/>
    </row>
    <row r="12">
      <c r="A12" s="19" t="inlineStr">
        <is>
          <t>FatInt</t>
        </is>
      </c>
      <c r="B12" s="19" t="inlineStr">
        <is>
          <t>Trocas</t>
        </is>
      </c>
      <c r="C12" s="19" t="inlineStr">
        <is>
          <t>Maica</t>
        </is>
      </c>
      <c r="D12" s="19" t="inlineStr">
        <is>
          <t>Daiane</t>
        </is>
      </c>
      <c r="E12" s="19" t="inlineStr">
        <is>
          <t>Luis</t>
        </is>
      </c>
      <c r="F12" s="19" t="inlineStr">
        <is>
          <t>Raul</t>
        </is>
      </c>
    </row>
    <row r="13">
      <c r="A13" s="20" t="inlineStr">
        <is>
          <t>FatInt</t>
        </is>
      </c>
      <c r="B13" s="20" t="inlineStr">
        <is>
          <t>Ótico</t>
        </is>
      </c>
      <c r="C13" s="20" t="inlineStr">
        <is>
          <t>Daiane</t>
        </is>
      </c>
      <c r="D13" s="20" t="inlineStr">
        <is>
          <t>Maica</t>
        </is>
      </c>
      <c r="E13" s="20" t="inlineStr">
        <is>
          <t>Gisele</t>
        </is>
      </c>
      <c r="F13" s="20" t="inlineStr">
        <is>
          <t>Letícia</t>
        </is>
      </c>
    </row>
    <row r="14">
      <c r="A14" s="19" t="inlineStr">
        <is>
          <t>FatInt</t>
        </is>
      </c>
      <c r="B14" s="19" t="inlineStr">
        <is>
          <t>B2C</t>
        </is>
      </c>
      <c r="C14" s="19" t="inlineStr">
        <is>
          <t>Vicente</t>
        </is>
      </c>
      <c r="D14" s="19" t="inlineStr"/>
      <c r="E14" s="19" t="inlineStr">
        <is>
          <t>Amanda</t>
        </is>
      </c>
      <c r="F14" s="19" t="inlineStr">
        <is>
          <t>Luis</t>
        </is>
      </c>
    </row>
    <row r="15">
      <c r="A15" s="20" t="inlineStr">
        <is>
          <t>FatInt</t>
        </is>
      </c>
      <c r="B15" s="20" t="inlineStr">
        <is>
          <t>Importadores</t>
        </is>
      </c>
      <c r="C15" s="20" t="inlineStr">
        <is>
          <t>Vicente</t>
        </is>
      </c>
      <c r="D15" s="20" t="inlineStr">
        <is>
          <t>Daiane</t>
        </is>
      </c>
      <c r="E15" s="20" t="inlineStr">
        <is>
          <t>Marcus</t>
        </is>
      </c>
      <c r="F15" s="20" t="inlineStr"/>
    </row>
    <row r="16">
      <c r="A16" s="19" t="inlineStr">
        <is>
          <t>FatInt</t>
        </is>
      </c>
      <c r="B16" s="19" t="inlineStr">
        <is>
          <t>Gerador de Relatórios</t>
        </is>
      </c>
      <c r="C16" s="19" t="inlineStr">
        <is>
          <t>Vicente</t>
        </is>
      </c>
      <c r="D16" s="19" t="inlineStr">
        <is>
          <t>Maica</t>
        </is>
      </c>
      <c r="E16" s="19" t="inlineStr">
        <is>
          <t>Letícia</t>
        </is>
      </c>
      <c r="F16" s="19" t="inlineStr"/>
    </row>
    <row r="17">
      <c r="A17" s="20" t="inlineStr">
        <is>
          <t>FatInt</t>
        </is>
      </c>
      <c r="B17" s="20" t="inlineStr">
        <is>
          <t>Serviços e Painel NFse</t>
        </is>
      </c>
      <c r="C17" s="20" t="inlineStr">
        <is>
          <t>Maica</t>
        </is>
      </c>
      <c r="D17" s="20" t="inlineStr"/>
      <c r="E17" s="20" t="inlineStr">
        <is>
          <t>Guilherme</t>
        </is>
      </c>
      <c r="F17" s="20" t="inlineStr">
        <is>
          <t>Marcus</t>
        </is>
      </c>
    </row>
    <row r="18">
      <c r="A18" s="19" t="inlineStr">
        <is>
          <t>FatInt</t>
        </is>
      </c>
      <c r="B18" s="19" t="inlineStr">
        <is>
          <t>SmartPOS</t>
        </is>
      </c>
      <c r="C18" s="19" t="inlineStr">
        <is>
          <t>Daiane</t>
        </is>
      </c>
      <c r="D18" s="19" t="inlineStr">
        <is>
          <t>Maica</t>
        </is>
      </c>
      <c r="E18" s="19" t="inlineStr">
        <is>
          <t>Guilherme</t>
        </is>
      </c>
      <c r="F18" s="19" t="inlineStr"/>
    </row>
    <row r="19">
      <c r="A19" s="20" t="inlineStr">
        <is>
          <t>FatInt</t>
        </is>
      </c>
      <c r="B19" s="20" t="inlineStr">
        <is>
          <t>Catalogo Digital</t>
        </is>
      </c>
      <c r="C19" s="20" t="inlineStr">
        <is>
          <t>Vicente</t>
        </is>
      </c>
      <c r="D19" s="20" t="inlineStr">
        <is>
          <t>Daiane</t>
        </is>
      </c>
      <c r="E19" s="20" t="inlineStr">
        <is>
          <t>Raul</t>
        </is>
      </c>
      <c r="F19" s="20" t="inlineStr"/>
    </row>
    <row r="20">
      <c r="A20" s="19" t="inlineStr">
        <is>
          <t>FatInt</t>
        </is>
      </c>
      <c r="B20" s="19" t="inlineStr">
        <is>
          <t>Venda de Seguros</t>
        </is>
      </c>
      <c r="C20" s="19" t="inlineStr">
        <is>
          <t>Maica</t>
        </is>
      </c>
      <c r="D20" s="19" t="inlineStr"/>
      <c r="E20" s="19" t="inlineStr">
        <is>
          <t>Marcus</t>
        </is>
      </c>
      <c r="F20" s="19" t="inlineStr"/>
    </row>
    <row r="21">
      <c r="A21" s="20" t="inlineStr">
        <is>
          <t>FatInt</t>
        </is>
      </c>
      <c r="B21" s="20" t="inlineStr">
        <is>
          <t>Reshop</t>
        </is>
      </c>
      <c r="C21" s="20" t="inlineStr">
        <is>
          <t>Daiane</t>
        </is>
      </c>
      <c r="D21" s="20" t="inlineStr">
        <is>
          <t>Vicente</t>
        </is>
      </c>
      <c r="E21" s="20" t="inlineStr">
        <is>
          <t>Letícia</t>
        </is>
      </c>
      <c r="F21" s="20" t="inlineStr"/>
    </row>
    <row r="22">
      <c r="A22" s="19" t="inlineStr">
        <is>
          <t>FatInt</t>
        </is>
      </c>
      <c r="B22" s="19" t="inlineStr">
        <is>
          <t>Remessas e Retornos</t>
        </is>
      </c>
      <c r="C22" s="19" t="inlineStr">
        <is>
          <t>Daiane</t>
        </is>
      </c>
      <c r="D22" s="19" t="inlineStr"/>
      <c r="E22" s="19" t="inlineStr">
        <is>
          <t>Otávio</t>
        </is>
      </c>
      <c r="F22" s="19" t="inlineStr"/>
    </row>
    <row r="23">
      <c r="A23" s="20" t="inlineStr">
        <is>
          <t>FatInt</t>
        </is>
      </c>
      <c r="B23" s="20" t="inlineStr">
        <is>
          <t>TEF</t>
        </is>
      </c>
      <c r="C23" s="20" t="inlineStr">
        <is>
          <t>Maica</t>
        </is>
      </c>
      <c r="D23" s="20" t="inlineStr">
        <is>
          <t>Vicente</t>
        </is>
      </c>
      <c r="E23" s="20" t="inlineStr">
        <is>
          <t>Otávio</t>
        </is>
      </c>
      <c r="F23" s="20" t="inlineStr"/>
    </row>
    <row r="25">
      <c r="A25" s="18" t="inlineStr">
        <is>
          <t>ℹ️ Edite o arquivo rca_config.yaml para alterar responsáveis. Re-execute generate_excel.py para atualizar.</t>
        </is>
      </c>
    </row>
  </sheetData>
  <mergeCells count="1">
    <mergeCell ref="A25:F2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RCA Pocket</dc:title>
  <dc:description xmlns:dc="http://purl.org/dc/elements/1.1/">Gerado em 17/03/2026 14:56</dc:description>
  <dcterms:created xmlns:dcterms="http://purl.org/dc/terms/" xmlns:xsi="http://www.w3.org/2001/XMLSchema-instance" xsi:type="dcterms:W3CDTF">2026-03-17T17:56:21Z</dcterms:created>
  <dcterms:modified xmlns:dcterms="http://purl.org/dc/terms/" xmlns:xsi="http://www.w3.org/2001/XMLSchema-instance" xsi:type="dcterms:W3CDTF">2026-03-17T17:56:21Z</dcterms:modified>
</cp:coreProperties>
</file>