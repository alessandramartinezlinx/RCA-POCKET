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dos" sheetId="1" state="visible" r:id="rId3"/>
    <sheet name="🗂️ Acompanhamento Issue" sheetId="2" state="visible" r:id="rId4"/>
    <sheet name="📦 Arquivo" sheetId="3" state="visible" r:id="rId5"/>
    <sheet name="👥 Responsávei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<sst xmlns="http://schemas.openxmlformats.org/spreadsheetml/2006/main" count="935" uniqueCount="368">
  <si>
    <t xml:space="preserve">Key</t>
  </si>
  <si>
    <t xml:space="preserve">Resumo</t>
  </si>
  <si>
    <t xml:space="preserve">Status Jira</t>
  </si>
  <si>
    <t xml:space="preserve">Prioridade</t>
  </si>
  <si>
    <t xml:space="preserve">Data Criação</t>
  </si>
  <si>
    <t xml:space="preserve">Data Resolução</t>
  </si>
  <si>
    <t xml:space="preserve">Dias p/ Resolver</t>
  </si>
  <si>
    <t xml:space="preserve">DeV Responsável pelo Bug</t>
  </si>
  <si>
    <t xml:space="preserve">QA Responsável pelo Bug</t>
  </si>
  <si>
    <t xml:space="preserve">Qtd Vínculos</t>
  </si>
  <si>
    <t xml:space="preserve">Causa Raiz</t>
  </si>
  <si>
    <t xml:space="preserve">Time</t>
  </si>
  <si>
    <t xml:space="preserve">Área</t>
  </si>
  <si>
    <t xml:space="preserve">Tipo Erro (Auto)</t>
  </si>
  <si>
    <t xml:space="preserve">Ação Realizada no Bug</t>
  </si>
  <si>
    <t xml:space="preserve">Análise da Causa</t>
  </si>
  <si>
    <t xml:space="preserve">Tipo de Ajuste</t>
  </si>
  <si>
    <t xml:space="preserve">Possui TA</t>
  </si>
  <si>
    <t xml:space="preserve">Arquivo TA</t>
  </si>
  <si>
    <t xml:space="preserve">Resultado da Automação</t>
  </si>
  <si>
    <t xml:space="preserve">Contexto</t>
  </si>
  <si>
    <t xml:space="preserve">Problema Resolvido?</t>
  </si>
  <si>
    <t xml:space="preserve">QA Principal</t>
  </si>
  <si>
    <t xml:space="preserve">Dev Principal</t>
  </si>
  <si>
    <t xml:space="preserve">Issue de Acompanhamento</t>
  </si>
  <si>
    <t xml:space="preserve">Plano Ação/Lição Aprendida</t>
  </si>
  <si>
    <t xml:space="preserve">Analisado</t>
  </si>
  <si>
    <t xml:space="preserve">Data Filtragem</t>
  </si>
  <si>
    <t xml:space="preserve">MODAJOI-100985</t>
  </si>
  <si>
    <t xml:space="preserve">SmartPOS - Ocorreu um problema ao imprimir.</t>
  </si>
  <si>
    <t xml:space="preserve">Concluída</t>
  </si>
  <si>
    <t xml:space="preserve">P1 - Alto</t>
  </si>
  <si>
    <t xml:space="preserve">Fernando Sutter</t>
  </si>
  <si>
    <t xml:space="preserve">Geovane Schmitt</t>
  </si>
  <si>
    <t xml:space="preserve">FatInt</t>
  </si>
  <si>
    <t xml:space="preserve">Venda Fácil</t>
  </si>
  <si>
    <t xml:space="preserve">Sistema</t>
  </si>
  <si>
    <t xml:space="preserve">[Alteração no código] Migrar a biblioteca e os testes unitários para suportar a nova versão do .NET da API do Fiscal.</t>
  </si>
  <si>
    <t xml:space="preserve">Migração do DOTNET causou problemas na impressão da SMART POS</t>
  </si>
  <si>
    <t xml:space="preserve">Código</t>
  </si>
  <si>
    <t xml:space="preserve">Sim</t>
  </si>
  <si>
    <t xml:space="preserve">CD030-PV Produto com Imagem e Pedido Separacao
CD05-Acessar Venda Facil SmartPOS - MODAJOI-59726
CD45-Venda Facil SmartPOS com Cartao Nao TEF- MODAJOI-89119
(+2 mais)</t>
  </si>
  <si>
    <t xml:space="preserve">Não se Aplica</t>
  </si>
  <si>
    <t xml:space="preserve">TA não valida impressão</t>
  </si>
  <si>
    <t xml:space="preserve">Daiane</t>
  </si>
  <si>
    <t xml:space="preserve">Gisele</t>
  </si>
  <si>
    <t xml:space="preserve">Re-avaliação dos Testes Unitários</t>
  </si>
  <si>
    <t xml:space="preserve">MODAJOI-101207</t>
  </si>
  <si>
    <t xml:space="preserve">Cliente relata que não é gerada uma nova fatura quando faz a baixa de faturas pelas rotinas Recebimento de Parcelas e Recebimento de Faturas informando um plano de pagamento que não seja à vista.</t>
  </si>
  <si>
    <t xml:space="preserve">P2 - Médio</t>
  </si>
  <si>
    <t xml:space="preserve">Mariana Franco Fernandes</t>
  </si>
  <si>
    <t xml:space="preserve">Caroline Becker Gonçalves Corrêa</t>
  </si>
  <si>
    <t xml:space="preserve">FFC</t>
  </si>
  <si>
    <t xml:space="preserve">Gestão Financeira</t>
  </si>
  <si>
    <t xml:space="preserve">[Alteração no código] Foi realizado o rollback das alterações feitas na MODAJOI-99668 conforme solicitado pelo time de suporte.</t>
  </si>
  <si>
    <t xml:space="preserve">O entendimento do chamado MODAJOI-99668 foi incorreto o que causou uma alteração que “quebrava” o processo levando a outro bug. </t>
  </si>
  <si>
    <t xml:space="preserve">CD10 - Validar que não é gerada nova fatura para valor já pago após recebimento parcial de parcela
CD02-Negociar Multiplas Faturas
CD09-Receber Total Fatura de Outra Empresa
(+2 mais)</t>
  </si>
  <si>
    <t xml:space="preserve">Os testes fazem o pagamento parcial mas não a conciliação</t>
  </si>
  <si>
    <t xml:space="preserve">Michelle Pereira</t>
  </si>
  <si>
    <t xml:space="preserve">Fabio Elias</t>
  </si>
  <si>
    <t xml:space="preserve">310302/ 310303</t>
  </si>
  <si>
    <t xml:space="preserve">Ajustar/revisar a documentação / Consultar time responsável</t>
  </si>
  <si>
    <t xml:space="preserve">MODAJOI-100887</t>
  </si>
  <si>
    <t xml:space="preserve">Venda Fácil - Venda de Serviços de Terceiros com pagamento unificado não gera fatura.</t>
  </si>
  <si>
    <t xml:space="preserve">Marcos Eduardo Melo Mendonca</t>
  </si>
  <si>
    <t xml:space="preserve">Altimara Wrobel Carneiro Schmitz</t>
  </si>
  <si>
    <t xml:space="preserve">[Alteração no código] Nesta correção será considerado além do parâmetro, o meio utilizado para gerar a fatura do serviço. Seguros vendidos pela rotina Serviço terceiro ERP SEMPRE será considerado pagamento separado. Já no Venda fácil, será considerado o parâmetro utilizado na empresa.</t>
  </si>
  <si>
    <t xml:space="preserve">Melhoria implementada no VF (venda de seguros) – via customização, causou o bug.</t>
  </si>
  <si>
    <t xml:space="preserve">Não</t>
  </si>
  <si>
    <t xml:space="preserve">Analisar os possíveis cenários para criação de TA</t>
  </si>
  <si>
    <t xml:space="preserve">MODAJOI-101185</t>
  </si>
  <si>
    <t xml:space="preserve">Venda Facil - Erro ao pesquisar item "Oops, Ocorreu um erro!"</t>
  </si>
  <si>
    <t xml:space="preserve">P0 - Altissimo</t>
  </si>
  <si>
    <t xml:space="preserve">Deivis de Los</t>
  </si>
  <si>
    <t xml:space="preserve">Não foi encontrada a causa da lentidão – foi realizado o monitoramento da rotina.</t>
  </si>
  <si>
    <t xml:space="preserve">Banco de Dados</t>
  </si>
  <si>
    <t xml:space="preserve">O erro ocorreu devido a uma oscilação na camada de banco de dados. Realizamos o monitoramento de ontem até hoje, e o erro não voltou a ocorrer. Seguiremos acompanhando o portal para garantir que não haja novos incidentes. Em caso de dúvidas, estou à disposição.</t>
  </si>
  <si>
    <t xml:space="preserve">Não houve ajuste </t>
  </si>
  <si>
    <t xml:space="preserve">CD028-PV_Consumidor Final Sem Pagamento com Desconto, Cadastrando Cliente e Adicionando segundo produto por pesquisa
CD16-Venda de Produto com Acrescimo e PIX
CD01-Troca de Produtos Oticos em Duas Etapas
(+2 mais)</t>
  </si>
  <si>
    <t xml:space="preserve">MODAJOI-101011</t>
  </si>
  <si>
    <t xml:space="preserve">Timeout ao gerar SPED EFD Fiscal. ---------------------------</t>
  </si>
  <si>
    <t xml:space="preserve">Jhony Kennyth Viebrantz</t>
  </si>
  <si>
    <t xml:space="preserve">SPED</t>
  </si>
  <si>
    <t xml:space="preserve">Existe um volume de dados muito grande para esse SPED, com base no inventário dele. Nós conseguimos gerar o arquivo por aqui, mas esse inventário gerou mais de 700 erros de estruturas, isso porque esse cliente tem muitos erros de custo médio negativo, por exemplo, oque não faz sentido. Isso precisa ser corrigido para que possamos gerar o SPED corretamente, e após isso ainda vai ter todas as dem...</t>
  </si>
  <si>
    <t xml:space="preserve">Lentidão na geração do Bloco H </t>
  </si>
  <si>
    <t xml:space="preserve">CD01-Validar Abertura e Geracao do SPED EFD Mes Anterior
CD02-Validar Abertura e Geracao do SPED EFD Mes Atual
CD09 - Gerar nota de devolução a partir do produto com ICMS excluído da base do PIS e COFINS
(+2 mais)</t>
  </si>
  <si>
    <t xml:space="preserve">Cliente com volume de estoque muito alto gerando problemas na geração.</t>
  </si>
  <si>
    <t xml:space="preserve">Flavia Doge</t>
  </si>
  <si>
    <t xml:space="preserve">Jean Carlos</t>
  </si>
  <si>
    <t xml:space="preserve">Abrir uma whishlist para melhoria do processo</t>
  </si>
  <si>
    <t xml:space="preserve">MODAJOI-101378</t>
  </si>
  <si>
    <t xml:space="preserve">Cliente entrou em contato informando que ao dar entrada em uma nota retorna que não foi encontrado configuração tributária para aquela operação.</t>
  </si>
  <si>
    <t xml:space="preserve">Anderson Petry</t>
  </si>
  <si>
    <t xml:space="preserve">Configuração Tributaria</t>
  </si>
  <si>
    <t xml:space="preserve">marta.ribeiro Segue as orientações da Jehniffer: "Marta Maria Masset Ribeiro, notei que este portal tem mais de uma classe fiscal para MG O fornecedor 6 está vinculado a classe fiscal 39 mas a configuração tributária que existe detalhamento está com a classe fiscal 10021 vc pode alterar a classe fiscal do fornecedor, para o outro MG que tem na lista, e validar Se eles integram essa informação, ...</t>
  </si>
  <si>
    <t xml:space="preserve">Classes tributárias duplicadas dentro do sistema do cliente. (Possivelmente integração mas sem certeza de fato).</t>
  </si>
  <si>
    <t xml:space="preserve">CD15-Validar Campos Obrigatorios Ao Cadastrar Produtos - Nova Rotina
CD06 - Gerar nota de devolução de compra com produto sem config tributaria
CD25-Venda com Produto sem Config
(+2 mais)</t>
  </si>
  <si>
    <t xml:space="preserve">Acompanhar o assunto para validar se está ocorrendo algum erro na integração ou é alguma ação manual incorreta.</t>
  </si>
  <si>
    <t xml:space="preserve">MODAJOI-100894</t>
  </si>
  <si>
    <t xml:space="preserve">ERP - Assinar documento digitalmente ==================================</t>
  </si>
  <si>
    <t xml:space="preserve">Marcos Felipe Dantas Da Costa</t>
  </si>
  <si>
    <t xml:space="preserve">Serviços</t>
  </si>
  <si>
    <t xml:space="preserve">Terceiros</t>
  </si>
  <si>
    <t xml:space="preserve">Detalhes: Após análise, verificamos que o erro está relacionado ao ERP, mas ao retorno da integração com a D4Sign. No momento da solicitação de envio do documento para assinatura, a API da D4Sign retorna 400 Bad Request com a mensagem informando que a conta possui mais créditos/limites disponíveis para envio de documentos. A assinatura digital é concluída porque a conta utilizada na integração ...</t>
  </si>
  <si>
    <t xml:space="preserve">Abrir uma wishlist para implementar mensagem amigável para facilitar a leitura/entendimento do erro</t>
  </si>
  <si>
    <t xml:space="preserve">MODAJOI-101199</t>
  </si>
  <si>
    <t xml:space="preserve">Cliente está realizando envios de XML para entrar com notas fiscais de compra no Microvix, porém está retornando error: HTTP/1.1 500 Internal Server Error.</t>
  </si>
  <si>
    <t xml:space="preserve">Fabio Elias Alves Vaz</t>
  </si>
  <si>
    <t xml:space="preserve">Michelle Pereira Pontes Dalfovo</t>
  </si>
  <si>
    <t xml:space="preserve">API Integração</t>
  </si>
  <si>
    <t xml:space="preserve">[Alteração no código] Realizados ajustes para que a IntegrationApi defina as configurações necessárias corretamente, mantendo compatibilidade entre os 3 projetos na classe ApiConfig.</t>
  </si>
  <si>
    <t xml:space="preserve">Quando realizado a migração não foram realizados os devidos testes/ajustes na API de integração</t>
  </si>
  <si>
    <t xml:space="preserve">Guilherme Rocha</t>
  </si>
  <si>
    <t xml:space="preserve">Rafael Flecha</t>
  </si>
  <si>
    <t xml:space="preserve">Criar Testes Unitários/TA</t>
  </si>
  <si>
    <t xml:space="preserve">MODAJOI-100808</t>
  </si>
  <si>
    <t xml:space="preserve">[ASICS} - Processo de certificado digital é realizado porém não finalizado.</t>
  </si>
  <si>
    <t xml:space="preserve">Não Mapeado</t>
  </si>
  <si>
    <t xml:space="preserve">Configuração</t>
  </si>
  <si>
    <t xml:space="preserve">Detalhes: Certificado adicionado com sucesso</t>
  </si>
  <si>
    <t xml:space="preserve">Ao gravar o certificado o retorno da gravação ficava ok porém o certificado não era salvo – ausencia de tabelas</t>
  </si>
  <si>
    <t xml:space="preserve">Já existe whishlist para esse caso (https://jira.linx.com.br/browse/MODAJOI-100833)</t>
  </si>
  <si>
    <t xml:space="preserve">MODAJOI-101292</t>
  </si>
  <si>
    <t xml:space="preserve">Erro no  relatório personalizado - ERP</t>
  </si>
  <si>
    <t xml:space="preserve">NF-e</t>
  </si>
  <si>
    <t xml:space="preserve">Detalhes: Este problema será corrigido na conclusão da demanda MODAJOI-99667</t>
  </si>
  <si>
    <t xml:space="preserve">Na verdade o bug será reclassificado para P2 ou P3 e esse problema será resolvido com refatoração (indicado na issue)</t>
  </si>
  <si>
    <t xml:space="preserve">Esse caso será tratado no MODAJOI-99967 / o interessante será recategorização da issue.</t>
  </si>
  <si>
    <t xml:space="preserve">MODAJOI-100934</t>
  </si>
  <si>
    <t xml:space="preserve">Cliente relata que ao tentar emitir nota substitutiva é apresentada mensagem que não é permitido alterar o destinatário para CNPJ em NF-e substitutiva.</t>
  </si>
  <si>
    <t xml:space="preserve">P3 - Baixo</t>
  </si>
  <si>
    <t xml:space="preserve">Correção Código</t>
  </si>
  <si>
    <t xml:space="preserve">[Alteração no código] removido bloqueio.</t>
  </si>
  <si>
    <t xml:space="preserve">Ajuste apenas em RC. Alteração d Regra fiscal impactou (somente RC). A postergação do prazo para permissão de alteração do Cliente em NFCe acabou impactando e causando o erro na nota substitutiva.</t>
  </si>
  <si>
    <t xml:space="preserve">A Alteração de bloquear a nota de substituição foi feita sem consultar o time de Fiscal.
TA – Existe apenas para PF.</t>
  </si>
  <si>
    <t xml:space="preserve">Questões de Legislação, o melhor é consultar o time Fiscal para validar a regra de negócio.</t>
  </si>
  <si>
    <t xml:space="preserve">MODAJOI-100979</t>
  </si>
  <si>
    <t xml:space="preserve">Entrada XML/Entrada CTe: Apresenta erro/não carrega ao usar usuario franqueador ==================================</t>
  </si>
  <si>
    <t xml:space="preserve">Marcilio De Aguiar Meireles</t>
  </si>
  <si>
    <t xml:space="preserve">Suprimentos</t>
  </si>
  <si>
    <t xml:space="preserve">Entrada XML</t>
  </si>
  <si>
    <t xml:space="preserve">Migração AKS</t>
  </si>
  <si>
    <t xml:space="preserve">[Alteração no código] Alterado para que seja possível passar por parâmetro, de forma opcional, o id do portal. Se não passar, usa a sessão, mantendo compatibilidade.</t>
  </si>
  <si>
    <t xml:space="preserve">Erro específico, da migração AKS Fiscal, para usuário Supervisor/Administrador. No portal testado não possuía usuário Supervisor e por esse motivo o bug ocorreu.</t>
  </si>
  <si>
    <t xml:space="preserve">Para usuário ADM/Supervisor não temos cenários de TA</t>
  </si>
  <si>
    <t xml:space="preserve">Jenifer Lopes</t>
  </si>
  <si>
    <t xml:space="preserve">Vinícius Souza Martins</t>
  </si>
  <si>
    <t xml:space="preserve">Testar também com usuário Supervisor/ADM de rede</t>
  </si>
  <si>
    <t xml:space="preserve">MODAJOI-101067</t>
  </si>
  <si>
    <t xml:space="preserve">mensagem 'Ocorreu um erro inesperado, por favor contate o suporte técnico' ao tentar gerar um relatório, no exportação de dados</t>
  </si>
  <si>
    <t xml:space="preserve">Nelson Campagnaro Junior</t>
  </si>
  <si>
    <t xml:space="preserve">Concluído.</t>
  </si>
  <si>
    <t xml:space="preserve">A correção do bug MODAJOI-101005 acabou impactando nesse caso, onde a exportação era feita utilizando a referência.</t>
  </si>
  <si>
    <t xml:space="preserve">Como foi aberto como emergencial, esse caso não passou por QA e o teste só seria pego se fosse realizado em homologação.</t>
  </si>
  <si>
    <t xml:space="preserve">Buscar os testes antes de liberar a demanda e repassar por um QA para validar correção.</t>
  </si>
  <si>
    <t xml:space="preserve">MODAJOI-100733</t>
  </si>
  <si>
    <t xml:space="preserve">Sugestão de compras - Não abre a tela para gerar o pedido =================================</t>
  </si>
  <si>
    <t xml:space="preserve">Júlia Inácio Capanema</t>
  </si>
  <si>
    <t xml:space="preserve">Compras 2.0</t>
  </si>
  <si>
    <t xml:space="preserve">Merge</t>
  </si>
  <si>
    <t xml:space="preserve">Verificado que o erro foi corrigido através do BUG interno MODAJOI-100676 GitCommit: https://github.com/MEDIUM-RETAIL-MICROVIX/suprimentos/commit/fa0890f5acf6c6f37638d28750db457682afad68 GitBranch: hotfix/MODAJOI-100676 GitRepository: suprimentos Liberação irá ocorrer hoje 16/03/2026 no ambiente de RC.</t>
  </si>
  <si>
    <t xml:space="preserve">Foi causado por um ajuste onde o merge acabou transportando o código de forma incorreta, por nbão gerar nenhum conflito.</t>
  </si>
  <si>
    <t xml:space="preserve">CD07-Sugestao de Compras Novo - Emitir Pedido Uma empresa
CD08-Sugestao de Compras Novo - Emitir Pedido Varias empresas - Um Pedido para Cada Empresa
CD09-Sugestao de Compras Novo - Emitir Pedido Varias empresas - Um Pedido para Todas as Empresas
(+2 mais)</t>
  </si>
  <si>
    <t xml:space="preserve">Não detectou</t>
  </si>
  <si>
    <t xml:space="preserve">Para o TA validar a situação, ele teria que selecionar todas as colunas para que o erro ficasse visível. Seria necessário adicionar a validação dos registros listados no TA existente.</t>
  </si>
  <si>
    <t xml:space="preserve">Ter o cenário de Sugestão de Compra – ao menos um cenário prioritário – na esteira rápida para garantir que problemas assim não volte a ocorrer.</t>
  </si>
  <si>
    <t xml:space="preserve">MODAJOI-100388</t>
  </si>
  <si>
    <t xml:space="preserve">Cliente relata que ao tentar emitir vendas com CST 51, no Venda Fácil, é retornada a Rejeição 929: Informado CST de diferimento sem as informações de diferimento.</t>
  </si>
  <si>
    <t xml:space="preserve">Kassia Mabily Fraga Souza</t>
  </si>
  <si>
    <t xml:space="preserve">Déborah Brenda Dos Santos</t>
  </si>
  <si>
    <t xml:space="preserve">Causa A porcentagem de redução estava zero, mas nós temos uma nota autorizada no dia 26/02/2026 do portal 14554 que possuía a tag em questão e foi autorizada, entretanto, foi possível identificar a origem da rejeição 929, mas a partir de março entendemos que ela passou a ser necessária devido as rejeições. Foram analisadas diversas NTs, mas houve alterações nas regras de validação do campo N12-...</t>
  </si>
  <si>
    <t xml:space="preserve">Aparentemente não hve causa aparente. A validação do SEFAZ mudou, sem aviso, e parou de validar a tag de redução de base de cálculo para CST de diferimento</t>
  </si>
  <si>
    <t xml:space="preserve">CD005-Pre Venda Rejeicao por CST Incorreta
CD025-Editar Salvar e Finalizar Pre-Venda com Pagamento Nao Informado e Incluindo Novos Produtos
CD026-Editar Salvar e Finalizar Pre-Venda com Pagamento Total Informado e Incluindo Novos Produtos
(+2 mais)</t>
  </si>
  <si>
    <t xml:space="preserve">Aparentemente somente alguns Estados começaram a validar essa tag no arquivo XML.</t>
  </si>
  <si>
    <t xml:space="preserve">Para esse caso em específico, por se tratar de erro do SEFAZ, para Estados Específicos, o plano de ação fica reduzido para alterações em Regras  Fiscais – mapear todos os Estados e cenários o máximo possível.</t>
  </si>
  <si>
    <t xml:space="preserve">MODAJOI-101005</t>
  </si>
  <si>
    <t xml:space="preserve">Exportação de dados: Erro ao exportar A exportação não gerou nenhum resultado. Tente alterar os filtros ==================================</t>
  </si>
  <si>
    <t xml:space="preserve">Pedro Henrique De Matos Veronese</t>
  </si>
  <si>
    <t xml:space="preserve">Gerador de Relatórios</t>
  </si>
  <si>
    <t xml:space="preserve">Ajustado código para remover o primeiro bloco que adiciona as aspas, deixando o valor final como "".</t>
  </si>
  <si>
    <t xml:space="preserve">Esquecimento no momento de subir o commit – retirada de “</t>
  </si>
  <si>
    <t xml:space="preserve">Vicente</t>
  </si>
  <si>
    <t xml:space="preserve">Letícia</t>
  </si>
  <si>
    <t xml:space="preserve">Revisar liberação de alteração</t>
  </si>
  <si>
    <t xml:space="preserve">MODAJOI-100867</t>
  </si>
  <si>
    <t xml:space="preserve">ERP - Erro ao gerar painel de movimentações WMS ==================================</t>
  </si>
  <si>
    <t xml:space="preserve">Quando iniciei a análise da issue, o problema estava ocorrendo. Ao começar fazer o teste localmente, também não estava trazendo as requisições - o que me fez desconfiar que era um problema de instabilidade do banco. Após fazer as buscas direto no banco e tentar por outros meios e ver que estava funcionando, rodei novamente o filtro na rotina diretamente no portal do cliente e a tela carregou no...</t>
  </si>
  <si>
    <t xml:space="preserve">Aparentemente instabilidade do cliente. Não houve nenhum tipo de ajuste.</t>
  </si>
  <si>
    <t xml:space="preserve">Validar os logs – seja no Elastic APPInsights para tentar rastrear a causa efetiva para esse tipo de situação. Dessa forma melhorara a análise.</t>
  </si>
  <si>
    <t xml:space="preserve">MODAJOI-100396</t>
  </si>
  <si>
    <t xml:space="preserve">Orçamento/Pedido: Falha ao recuperar os dados para geração do link de pagamento ==================================</t>
  </si>
  <si>
    <t xml:space="preserve">Como correção foi realizado um ajuste efetivo até que tenhamos um retorno da Pagar.me sobre. Demanda correção retroativa: MODAJOI-100187 Cliente passou a utilizar versão checkout v1 ao invés de V2.</t>
  </si>
  <si>
    <t xml:space="preserve">Erro na PAGAR-ME.</t>
  </si>
  <si>
    <t xml:space="preserve">CD010-Pre Venda com Link Pagamento
CD014-Agrupamento de Pré-Venda com Link de Pagamento
CD018-Pre Venda NFC-e com Link Pagamento
(+2 mais)</t>
  </si>
  <si>
    <t xml:space="preserve">Detectou problema</t>
  </si>
  <si>
    <t xml:space="preserve">Foi validado pelo QA porém para o caso em específico seria necessário voltar a versão do link de pagamento.</t>
  </si>
  <si>
    <t xml:space="preserve">Pendente 5</t>
  </si>
  <si>
    <t xml:space="preserve">MODAJOI-100761</t>
  </si>
  <si>
    <t xml:space="preserve">Venda Fácil - Envio de comprovante de troca com documento 0.</t>
  </si>
  <si>
    <t xml:space="preserve">[Alteração no código] Adiciona método para obter payload correto de envio e atualiza chamada de ação para enviar informações de troca por email</t>
  </si>
  <si>
    <t xml:space="preserve">Foi fechada incorretamente como P1.</t>
  </si>
  <si>
    <t xml:space="preserve">CD05 - Alterar Vendedor no Movimento Diário
CD02-Gerar Ticket Manual com Base Central
CD04-Conferir Vendedor, Pagamentos, Produtos, Cliente e Descontos no Movimentos Diario
(+2 mais)</t>
  </si>
  <si>
    <t xml:space="preserve">MODAJOI-100652</t>
  </si>
  <si>
    <t xml:space="preserve">Venda fácil: Não permite editar pré-venda ==================================</t>
  </si>
  <si>
    <t xml:space="preserve">[Alteração no código] Causa Após alterações da demanda originadora (MODAJOI-99809), a regra de habilitação do botão “Finalizar” na tela de pagamento da pré-venda ficou mais restritiva e, ao editar uma pré-venda existente sem informar pagamento, o botão permanecia “em marca d’água” (desabilitado), impedindo salvar/prosseguir com as alterações. Solução Ajustada a condição do método `permiteFinali...</t>
  </si>
  <si>
    <t xml:space="preserve">MODAJOI-99809 - Foi uma condição implementada para tentar blindar um outro problema - Feito Rollback</t>
  </si>
  <si>
    <t xml:space="preserve">Solicitado a criação para um no TA que faça a varredura de casos como esse.</t>
  </si>
  <si>
    <t xml:space="preserve">Pendente</t>
  </si>
  <si>
    <t xml:space="preserve">Iniciativa do dev para rollback e abertura de TA</t>
  </si>
  <si>
    <t xml:space="preserve">MODAJOI-100187</t>
  </si>
  <si>
    <t xml:space="preserve">Oops, Ocorreu um erro! ao gerar Pré-venda com link de pagamento. ==================================</t>
  </si>
  <si>
    <t xml:space="preserve">[Alteração no código] Atualização URL</t>
  </si>
  <si>
    <t xml:space="preserve">Link do Pagar-me que não está funcionando, para a Versão V2.</t>
  </si>
  <si>
    <t xml:space="preserve">CD007-Pre Venda com Link Pagamento via Whatsapp - esse cenário estava com erro</t>
  </si>
  <si>
    <t xml:space="preserve">Nesse caso o problema foi causado por terceiros e a solução foi alterar o link de pagamento.</t>
  </si>
  <si>
    <t xml:space="preserve">MODAJOI-99532</t>
  </si>
  <si>
    <t xml:space="preserve">POS - Comprovante do Remessas e Retornos não Funciona</t>
  </si>
  <si>
    <t xml:space="preserve">Joao Vinicius Souza Goncalves </t>
  </si>
  <si>
    <t xml:space="preserve">Remessas e Retornos</t>
  </si>
  <si>
    <t xml:space="preserve">[Alteração no código] Ajuste para que o POS permite corretamente imprimir o comprovante de remessas e retornos.</t>
  </si>
  <si>
    <t xml:space="preserve">MODAJOI-99032 - Acabou impactando somente a rotina online.</t>
  </si>
  <si>
    <t xml:space="preserve">TestComplete</t>
  </si>
  <si>
    <t xml:space="preserve">Somente são realizados na publicação de nova versão do POS</t>
  </si>
  <si>
    <t xml:space="preserve">Otávio</t>
  </si>
  <si>
    <t xml:space="preserve">Quando alterar qualquer rotina, elencar as principais rotinas online para não cair em erros</t>
  </si>
  <si>
    <t xml:space="preserve">MODAJOI-100251</t>
  </si>
  <si>
    <t xml:space="preserve">Venda Fácil - Não finaliza venda com campanha do CRM&amp;Bônus.</t>
  </si>
  <si>
    <t xml:space="preserve">[Alteração no código] Ajuste para que o VF finalize corretamente caso haja campanha crmBonus. O erro ocorria por uma especie de `blindagem` para evitar duplo clique e duplicidade na finalização de vendas. Que tratava essa finalização indevidamente e impedia que de fato a venda fosse concluida.</t>
  </si>
  <si>
    <t xml:space="preserve">Teria que deixar um ambiente configurado para utilizar o CRM Bonus e que o ambiente esteja 100% disponível</t>
  </si>
  <si>
    <t xml:space="preserve">Time do Ademir avaliar a possibilidade de criação de TA para essa rotina e estruturar o ambiente / Mapear quantos clientes utilizam a V1 do CRM Bonus e quantos utilizam a V2</t>
  </si>
  <si>
    <t xml:space="preserve">MODAJOI-100393</t>
  </si>
  <si>
    <t xml:space="preserve">Troca fácil: Não é possivel realizar devolução para o item ==================================</t>
  </si>
  <si>
    <t xml:space="preserve">Leticia Saraiva Chaves</t>
  </si>
  <si>
    <t xml:space="preserve">[Alteração no código] Ajuste na query ao verificar a existência de devolução sem registro na tabela trocaunificada.</t>
  </si>
  <si>
    <t xml:space="preserve">CD06-Realizar uma Venda Vitrine e Alterar o Pedido
CD17-Devolução por nota com múltiplas linhas do mesmo produto
CD01-Realizar Troca e Zerar Vale Gerado
(+2 mais)</t>
  </si>
  <si>
    <t xml:space="preserve">MODAJOI-100578</t>
  </si>
  <si>
    <t xml:space="preserve">Valor mínimo para resgate incorreto no venda fácil, comparando a configuração do fidelidade no Reshop.</t>
  </si>
  <si>
    <t xml:space="preserve">[Alteração no código] Causa Na tela de resgate por pontos, o “valor mínimo de resgate” exibido estava confundindo a regra: o sistema acabava apresentando incorretamente um valor relacionado a pontos (ou a conversão/limite) quando, na prática, existem regras distintas: - Valor mínimo da venda para permitir resgate; - Limite percentual de resgate sobre o valor da venda; - Valor mínimo (em R$) par...</t>
  </si>
  <si>
    <t xml:space="preserve">Não teve uma causa descoberta.</t>
  </si>
  <si>
    <t xml:space="preserve">Como se trata de problema visual, talvez não se aplique ao TA</t>
  </si>
  <si>
    <t xml:space="preserve">https://jira.linx.com.br/browse/MODAJOI-101142</t>
  </si>
  <si>
    <t xml:space="preserve">Fazer uma análise da possibilidade de criar um TA relativo a esse tipo de problema</t>
  </si>
  <si>
    <t xml:space="preserve">MODAJOI-100461</t>
  </si>
  <si>
    <t xml:space="preserve">Ao abrir POS e na tela inicial, após curto tempo consta mensagem de erro:</t>
  </si>
  <si>
    <t xml:space="preserve">POS</t>
  </si>
  <si>
    <t xml:space="preserve">Realizado ajuste nos produtos, pois haviam mais de 1600 produtos definidos como catálogo. Deste modo, ocasionava travamentos dado o alto volume. Após o ajuste, o erro cessou. Trataremos o problema em sua causa raiz através de uma melhoria que será aberta.</t>
  </si>
  <si>
    <t xml:space="preserve">O cliente utilizou um número maior do que o limite permitido de sincronização de produtos</t>
  </si>
  <si>
    <t xml:space="preserve">Pendente 4</t>
  </si>
  <si>
    <t xml:space="preserve">Fazer um levantamento para validar se a blindagem para limitação de importação se perdeu</t>
  </si>
  <si>
    <t xml:space="preserve">MODAJOI-100418</t>
  </si>
  <si>
    <t xml:space="preserve">Venda Fácil - Rejeição 865: Total dos pagamentos menor que o total da nota, em vendas com cupom.</t>
  </si>
  <si>
    <t xml:space="preserve">[Alteração no código] Causa A validação anterior limitava o desconto considerando apenas o valor total dos produtos. Com isso, era possível concluir a venda com valor final de R$ 0,01, independentemente da quantidade de itens, pois a regra distribuía esse mínimo por item. A validação anterior veio como ajuste da MODAJOI-100016, mas as alterações surtiam efeito para o cenário do valor do cupom m...</t>
  </si>
  <si>
    <t xml:space="preserve">Problemas com arredondamento - no momento do arredondamento o sistema se perdia.</t>
  </si>
  <si>
    <t xml:space="preserve">O item do cliente é específico - ótico + cupom de desconto + pagamento parcial</t>
  </si>
  <si>
    <t xml:space="preserve">https://jira.linx.com.br/browse/MODAJOI-101007</t>
  </si>
  <si>
    <t xml:space="preserve">Fazer uma análise nas ultimas rejeições/bug e criar algo para blindar esse tipo de situação de arredondamento.</t>
  </si>
  <si>
    <t xml:space="preserve">MODAJOI-100776</t>
  </si>
  <si>
    <t xml:space="preserve">Conciliador bancário: Erro ao desconciliar faturas e lançamentos contábeis: Execution Timeout Expired. ==================================</t>
  </si>
  <si>
    <t xml:space="preserve">The Tempo Account was changed to Nao Capitalizavel (Opex) by the Scriptrunner validation script</t>
  </si>
  <si>
    <t xml:space="preserve">CD18-Conciliar Fatura a Receber Por Sugestão
CD20-Conciliar Mais de uma Fatura a Receber Selecionando Mesmo Valor do Extrato
CD09-Conciliar Extrato a Receber Utilizando Regra para Conciliação Automática
(+2 mais)</t>
  </si>
  <si>
    <t xml:space="preserve">MODAJOI-100270</t>
  </si>
  <si>
    <t xml:space="preserve">Venda Fácil - Erro Undefined ao Pesquisar o Serviços pelo Nome</t>
  </si>
  <si>
    <t xml:space="preserve">[Alteração no código] Tratamento para buscar o alias correto da tabela de produtos/serviços</t>
  </si>
  <si>
    <t xml:space="preserve">MODAJOI-99339</t>
  </si>
  <si>
    <t xml:space="preserve">CD01-Pesquisar Produto e Compartilhar Resultado</t>
  </si>
  <si>
    <t xml:space="preserve">O TA cobre somente pesquisa de produtos e nesse caso a pesquisa era de serviço</t>
  </si>
  <si>
    <t xml:space="preserve">https://jira.linx.com.br/browse/MODAJOI-101105 e https://jira.linx.com.br/browse/MODAJOI-101106</t>
  </si>
  <si>
    <t xml:space="preserve">Criar TA para erviço</t>
  </si>
  <si>
    <t xml:space="preserve">MODAJOI-99893</t>
  </si>
  <si>
    <t xml:space="preserve">Venda Fácil - TEF - Não foi possível se comunicar com o Scarf.</t>
  </si>
  <si>
    <t xml:space="preserve">TEF</t>
  </si>
  <si>
    <t xml:space="preserve">Orientações passadas pelo Teams acerca do "AccessViolationException"</t>
  </si>
  <si>
    <t xml:space="preserve">Não conseguimos simular a causa do problema - Na própria loja não ocorreu mais o problema</t>
  </si>
  <si>
    <t xml:space="preserve">O TEF acaba sendo um processo com um grau de dificuldade  maior para a criação do TA</t>
  </si>
  <si>
    <t xml:space="preserve">MODAJOI-100066</t>
  </si>
  <si>
    <t xml:space="preserve">Relatório de detalhamento de custos duplica valor de FCP -ERP</t>
  </si>
  <si>
    <t xml:space="preserve">[Alteração no código] Feito o ajuste conforme Épico MODAJOI-31323 onde é tratado para calcular o FcpStAntecipado quando houver FCPST.</t>
  </si>
  <si>
    <t xml:space="preserve">CD01-Emissao Do Relatorio Detalhamento de Custos
CD02-Emissao Do Relatorio Detalhamento de Custos - Verificar Coluna Nota Origem
CD03-Emissao Do Relatorio Detalhamento de Custos - Apenas Nota de Entrada
(+2 mais)</t>
  </si>
  <si>
    <t xml:space="preserve">MODAJOI-100650</t>
  </si>
  <si>
    <t xml:space="preserve">ERP - venda não apresenta os dois seguros vendidos ==================================</t>
  </si>
  <si>
    <t xml:space="preserve">ao verificar no BD os seguros são listados: e ao conferir no relatório também esta listando.</t>
  </si>
  <si>
    <t xml:space="preserve">CD18-Venda com Destaque de IPI Com Dois Itens
CD02-Venda com Dois Itens com Cliente Pessoa Física e Troca
CD04-Faturamento Formas Pagamento Pix + Dois Cartoes Credito
(+2 mais)</t>
  </si>
  <si>
    <t xml:space="preserve">MODAJOI-100597</t>
  </si>
  <si>
    <t xml:space="preserve">Erro SQL ao acessar Portal ==================================</t>
  </si>
  <si>
    <t xml:space="preserve">Erro de banco de dados causado na reativação do portal via MODAJOI-99848.</t>
  </si>
  <si>
    <t xml:space="preserve">CD02-Gerar Ticket Manual com Base Central
CD01- Pequisar Portal Multimarca
CD01-Verificar Disponibilidade de Vinculo Para Portal Rede
(+2 mais)</t>
  </si>
  <si>
    <t xml:space="preserve">MODAJOI-100533</t>
  </si>
  <si>
    <t xml:space="preserve">ERP - Erro ao selecionar itens para devolução de compra fácil ==================================</t>
  </si>
  <si>
    <t xml:space="preserve">[Alteração no código] Causa: A devolução está sendo gerada porque o sistema encontrou a NF-e de entrada correspondente à chave informada durante o processo de conferência. Como a nota é localizada nas fontes consultadas (XML/integrações), nenhuma referência de conferência é criada, resultando em lista vazia e impedindo a continuidade da devolução: No payload, quando enviamos o produto pra devol...</t>
  </si>
  <si>
    <t xml:space="preserve">CD01-Entrada de Recusa de Devolução de Compra
CD16 - Devolução de Compras - Devolução Parcial dos Itens.
CD17-Devolução por nota com múltiplas linhas do mesmo produto
(+2 mais)</t>
  </si>
  <si>
    <t xml:space="preserve">MODAJOI-100362</t>
  </si>
  <si>
    <t xml:space="preserve">Na rotina ERP &gt; Faturamentos &gt; Exportação de Dados, ao processar a configuração “Electrolux Venda/Cancelamento de Seguros (6461)” no Linx Microvix, as exportações vêm sendo finalizadas de forma int...</t>
  </si>
  <si>
    <t xml:space="preserve">Na rotina ERP &gt; Faturamentos &gt; Exportação de Dados, ao processar a configuração “Electrolux Venda/Cancelamento de Seguros (6461)” no Linx Microvix, as exportações vêm sendo finalizadas de forma intermitente com o status “Concluído com erro”, conforme demonstrado no histórico de processamentos (ID...</t>
  </si>
  <si>
    <t xml:space="preserve">verificado que está sendo gerado normalmente, e o problema reportado foi de uma venda de seguro onde faltava subir pra nuvem o plano de pagamento de seguro, provalvemte teve uma rejeição de NFe e depois a venda foi alterada para NFCe. Feito o retroativo, caso surja um novo caso pegar o log do POS. Correção liberada na versão abaixo https://setupbr.microvix.com.br/homologacao-manualonly/LinxMicr...</t>
  </si>
  <si>
    <t xml:space="preserve">CD04-Realizar uma Venda Mista e Cancelamento do Pedido
CD05-Realizar uma Venda Vitrine e Cancelar o Pedido
CD05-Implantacao de Novo Portal - Informar Dados Bancarios
(+2 mais)</t>
  </si>
  <si>
    <t xml:space="preserve">MODAJOI-100566</t>
  </si>
  <si>
    <t xml:space="preserve">Rejeição 929  CST de Diferimento sem informações - ERP</t>
  </si>
  <si>
    <t xml:space="preserve">Feito a nota pontualmente, pois a correção efetiva sairá na demanda # MODAJOI-100388</t>
  </si>
  <si>
    <t xml:space="preserve">CD005-Pre Venda Rejeicao por CST Incorreta
CD15-Devolucao de Compras com uma rejeição da nota
CD01 - Gerar nota de devolução a partir do produto com Venda CST 0.00 com cliente pessoa física do mesmo estado
(+2 mais)</t>
  </si>
  <si>
    <t xml:space="preserve">Issue Acompanhamento</t>
  </si>
  <si>
    <t xml:space="preserve">Issue Original</t>
  </si>
  <si>
    <t xml:space="preserve">Responsável</t>
  </si>
  <si>
    <t xml:space="preserve">Ação</t>
  </si>
  <si>
    <t xml:space="preserve">Status da Ação</t>
  </si>
  <si>
    <t xml:space="preserve">Data Limite</t>
  </si>
  <si>
    <t xml:space="preserve">Data Conclusão</t>
  </si>
  <si>
    <t xml:space="preserve">Observação</t>
  </si>
  <si>
    <t xml:space="preserve">240301</t>
  </si>
  <si>
    <t xml:space="preserve">Altimara</t>
  </si>
  <si>
    <t xml:space="preserve">Sustentação</t>
  </si>
  <si>
    <t xml:space="preserve">Criar mais um cenário para PJ</t>
  </si>
  <si>
    <t xml:space="preserve">Análise</t>
  </si>
  <si>
    <t xml:space="preserve">240302</t>
  </si>
  <si>
    <t xml:space="preserve">Alessandra/Murilo</t>
  </si>
  <si>
    <t xml:space="preserve">Arquitetura</t>
  </si>
  <si>
    <t xml:space="preserve">Verificar uma maneira de, assim como trocamos de ambiente, fazer a troca para usuários para rodar os testes (ao menos CI/CD) automatizados de forma geral</t>
  </si>
  <si>
    <t xml:space="preserve">Deivis</t>
  </si>
  <si>
    <t xml:space="preserve">Cobrar o fornecedor uma solução definitiva</t>
  </si>
  <si>
    <t xml:space="preserve">Andamento</t>
  </si>
  <si>
    <t xml:space="preserve">24/03 – Já foi cobrado e o Fornecedor informa que ainda está avaliando.</t>
  </si>
  <si>
    <t xml:space="preserve">Criar Teste Automatizado</t>
  </si>
  <si>
    <t xml:space="preserve">Ademir</t>
  </si>
  <si>
    <t xml:space="preserve">Analisar e criar TA se houver possibilidade</t>
  </si>
  <si>
    <t xml:space="preserve">Fazer uma busca para validar se a blindagem pela quantidade para a sincronização de perdeu</t>
  </si>
  <si>
    <t xml:space="preserve">Concluído</t>
  </si>
  <si>
    <t xml:space="preserve">Será aberto um bug interno para corrigir a situação.</t>
  </si>
  <si>
    <t xml:space="preserve">Criar um item para analisar a correção definitiva as Rejeições 865 e 866 </t>
  </si>
  <si>
    <t xml:space="preserve">Debora</t>
  </si>
  <si>
    <t xml:space="preserve">Fabio</t>
  </si>
  <si>
    <t xml:space="preserve">Criar Teste Unitário</t>
  </si>
  <si>
    <t xml:space="preserve">Liliane</t>
  </si>
  <si>
    <t xml:space="preserve">Ajustar Documentação</t>
  </si>
  <si>
    <t xml:space="preserve">Michelle</t>
  </si>
  <si>
    <t xml:space="preserve">Criar TA</t>
  </si>
  <si>
    <t xml:space="preserve">Analisar e criar TA para os cenários de Seguro</t>
  </si>
  <si>
    <t xml:space="preserve">Nelson</t>
  </si>
  <si>
    <t xml:space="preserve">Abrir uma whishlist de melhoria</t>
  </si>
  <si>
    <t xml:space="preserve">Criar Testes Unitários para esses casos</t>
  </si>
  <si>
    <t xml:space="preserve">Jenifer</t>
  </si>
  <si>
    <t xml:space="preserve">SupCrmImp</t>
  </si>
  <si>
    <t xml:space="preserve">Data Arquivamento</t>
  </si>
  <si>
    <t xml:space="preserve">ℹ️ Issues com Analisado=Sim importadas há mais de 30 dias são movidas para esta aba automaticamente.</t>
  </si>
  <si>
    <t xml:space="preserve">QA Secundário</t>
  </si>
  <si>
    <t xml:space="preserve">Dev Secundário</t>
  </si>
  <si>
    <t xml:space="preserve">Willian Dias Brito</t>
  </si>
  <si>
    <t xml:space="preserve">Balanço</t>
  </si>
  <si>
    <t xml:space="preserve">Ana Paula Coelho</t>
  </si>
  <si>
    <t xml:space="preserve">João Vitor Leone</t>
  </si>
  <si>
    <t xml:space="preserve">Mauricio Maia</t>
  </si>
  <si>
    <t xml:space="preserve">Conciliadores</t>
  </si>
  <si>
    <t xml:space="preserve">Rejeições</t>
  </si>
  <si>
    <t xml:space="preserve">Conferencia de Caixa</t>
  </si>
  <si>
    <t xml:space="preserve">Luis</t>
  </si>
  <si>
    <t xml:space="preserve">Trocas</t>
  </si>
  <si>
    <t xml:space="preserve">Maica</t>
  </si>
  <si>
    <t xml:space="preserve">Raul</t>
  </si>
  <si>
    <t xml:space="preserve">Ótico</t>
  </si>
  <si>
    <t xml:space="preserve">B2C</t>
  </si>
  <si>
    <t xml:space="preserve">Amanda</t>
  </si>
  <si>
    <t xml:space="preserve">Importadores</t>
  </si>
  <si>
    <t xml:space="preserve">Marcus</t>
  </si>
  <si>
    <t xml:space="preserve">Serviços e Painel NFse</t>
  </si>
  <si>
    <t xml:space="preserve">Guilherme</t>
  </si>
  <si>
    <t xml:space="preserve">SmartPOS</t>
  </si>
  <si>
    <t xml:space="preserve">Catalogo Digital</t>
  </si>
  <si>
    <t xml:space="preserve">Venda de Seguros</t>
  </si>
  <si>
    <t xml:space="preserve">Reshop</t>
  </si>
  <si>
    <t xml:space="preserve">ℹ️ Edite o arquivo rca_config.yaml para alterar responsáveis. Re-execute generate_excel.py para atualizar.</t>
  </si>
</sst>
</file>

<file path=xl/styles.xml><?xml version="1.0" encoding="utf-8"?>
<styleSheet xmlns="http://schemas.openxmlformats.org/spreadsheetml/2006/main">
  <numFmts count="3">
    <numFmt numFmtId="164" formatCode="General"/>
    <numFmt numFmtId="165" formatCode="d/m/yyyy"/>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b val="true"/>
      <u val="single"/>
      <sz val="9"/>
      <color rgb="FF0563C1"/>
      <name val="Calibri"/>
      <family val="0"/>
      <charset val="1"/>
    </font>
    <font>
      <sz val="9"/>
      <name val="Calibri"/>
      <family val="0"/>
      <charset val="1"/>
    </font>
    <font>
      <b val="true"/>
      <sz val="9"/>
      <color rgb="FF9C0006"/>
      <name val="Calibri"/>
      <family val="0"/>
      <charset val="1"/>
    </font>
    <font>
      <b val="true"/>
      <sz val="9"/>
      <color rgb="FF9C6500"/>
      <name val="Calibri"/>
      <family val="0"/>
      <charset val="1"/>
    </font>
    <font>
      <sz val="9"/>
      <color rgb="FF0000FF"/>
      <name val="Calibri"/>
      <family val="0"/>
      <charset val="1"/>
    </font>
    <font>
      <u val="single"/>
      <sz val="9"/>
      <color rgb="FF0563C1"/>
      <name val="Calibri"/>
      <family val="0"/>
      <charset val="1"/>
    </font>
    <font>
      <sz val="9"/>
      <color theme="1"/>
      <name val="Calibri"/>
      <family val="0"/>
      <charset val="1"/>
    </font>
    <font>
      <i val="true"/>
      <sz val="8"/>
      <color rgb="FF888888"/>
      <name val="Calibri"/>
      <family val="0"/>
      <charset val="1"/>
    </font>
  </fonts>
  <fills count="16">
    <fill>
      <patternFill patternType="none"/>
    </fill>
    <fill>
      <patternFill patternType="gray125"/>
    </fill>
    <fill>
      <patternFill patternType="solid">
        <fgColor rgb="FF1F4E79"/>
        <bgColor rgb="FF44546A"/>
      </patternFill>
    </fill>
    <fill>
      <patternFill patternType="solid">
        <fgColor rgb="FF44546A"/>
        <bgColor rgb="FF1F4E79"/>
      </patternFill>
    </fill>
    <fill>
      <patternFill patternType="solid">
        <fgColor rgb="FF375623"/>
        <bgColor rgb="FF44546A"/>
      </patternFill>
    </fill>
    <fill>
      <patternFill patternType="solid">
        <fgColor rgb="FFD6E4F0"/>
        <bgColor rgb="FFE8EAED"/>
      </patternFill>
    </fill>
    <fill>
      <patternFill patternType="solid">
        <fgColor rgb="FFFFC7CE"/>
        <bgColor rgb="FFCCCCCC"/>
      </patternFill>
    </fill>
    <fill>
      <patternFill patternType="solid">
        <fgColor rgb="FFE8EAED"/>
        <bgColor rgb="FFEBF1DE"/>
      </patternFill>
    </fill>
    <fill>
      <patternFill patternType="solid">
        <fgColor rgb="FFEBF1DE"/>
        <bgColor rgb="FFE2EFDA"/>
      </patternFill>
    </fill>
    <fill>
      <patternFill patternType="solid">
        <fgColor rgb="FFFFEB9C"/>
        <bgColor rgb="FFFFF2CC"/>
      </patternFill>
    </fill>
    <fill>
      <patternFill patternType="solid">
        <fgColor rgb="FF2E75B6"/>
        <bgColor rgb="FF0563C1"/>
      </patternFill>
    </fill>
    <fill>
      <patternFill patternType="solid">
        <fgColor rgb="FFEBF3FB"/>
        <bgColor rgb="FFE8EAED"/>
      </patternFill>
    </fill>
    <fill>
      <patternFill patternType="solid">
        <fgColor rgb="FFFFF2CC"/>
        <bgColor rgb="FFEBF1DE"/>
      </patternFill>
    </fill>
    <fill>
      <patternFill patternType="solid">
        <fgColor rgb="FFE2EFDA"/>
        <bgColor rgb="FFEBF1DE"/>
      </patternFill>
    </fill>
    <fill>
      <patternFill patternType="solid">
        <fgColor rgb="FF7F6000"/>
        <bgColor rgb="FF9C6500"/>
      </patternFill>
    </fill>
    <fill>
      <patternFill patternType="solid">
        <fgColor rgb="FFFFFFFF"/>
        <bgColor rgb="FFEBF3FB"/>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general" vertical="center" textRotation="0" wrapText="false" indent="0" shrinkToFit="false"/>
      <protection locked="true" hidden="false"/>
    </xf>
    <xf numFmtId="164" fontId="6" fillId="5" borderId="1" xfId="0" applyFont="true" applyBorder="true" applyAlignment="true" applyProtection="false">
      <alignment horizontal="general" vertical="center" textRotation="0" wrapText="false" indent="0" shrinkToFit="false"/>
      <protection locked="true" hidden="false"/>
    </xf>
    <xf numFmtId="165" fontId="6" fillId="5" borderId="1" xfId="0" applyFont="true" applyBorder="true" applyAlignment="true" applyProtection="false">
      <alignment horizontal="general" vertical="center" textRotation="0" wrapText="false" indent="0" shrinkToFit="false"/>
      <protection locked="true" hidden="false"/>
    </xf>
    <xf numFmtId="166" fontId="6" fillId="5" borderId="1" xfId="0" applyFont="true" applyBorder="true" applyAlignment="true" applyProtection="false">
      <alignment horizontal="general" vertical="center" textRotation="0" wrapText="false" indent="0" shrinkToFit="false"/>
      <protection locked="true" hidden="false"/>
    </xf>
    <xf numFmtId="164" fontId="7" fillId="6" borderId="1" xfId="0" applyFont="true" applyBorder="true" applyAlignment="true" applyProtection="false">
      <alignment horizontal="general" vertical="center" textRotation="0" wrapText="false" indent="0" shrinkToFit="false"/>
      <protection locked="true" hidden="false"/>
    </xf>
    <xf numFmtId="164" fontId="6" fillId="7" borderId="1" xfId="0" applyFont="true" applyBorder="true" applyAlignment="true" applyProtection="false">
      <alignment horizontal="general" vertical="center"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center" textRotation="0" wrapText="true" indent="0" shrinkToFit="false"/>
      <protection locked="true" hidden="false"/>
    </xf>
    <xf numFmtId="164" fontId="6" fillId="8" borderId="1" xfId="0" applyFont="true" applyBorder="true" applyAlignment="true" applyProtection="false">
      <alignment horizontal="general"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5" fontId="6" fillId="8" borderId="1" xfId="0" applyFont="true" applyBorder="true" applyAlignment="true" applyProtection="false">
      <alignment horizontal="general" vertical="center" textRotation="0" wrapText="fals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0" fillId="8" borderId="1" xfId="0" applyFont="false" applyBorder="true" applyAlignment="true" applyProtection="false">
      <alignment horizontal="general" vertical="center" textRotation="0" wrapText="false" indent="0" shrinkToFit="false"/>
      <protection locked="true" hidden="false"/>
    </xf>
    <xf numFmtId="164" fontId="8" fillId="9" borderId="1" xfId="0" applyFont="true" applyBorder="true" applyAlignment="true" applyProtection="false">
      <alignment horizontal="general" vertical="center" textRotation="0" wrapText="false" indent="0" shrinkToFit="false"/>
      <protection locked="true" hidden="false"/>
    </xf>
    <xf numFmtId="164" fontId="9" fillId="8" borderId="1" xfId="0" applyFont="true" applyBorder="true" applyAlignment="true" applyProtection="false">
      <alignment horizontal="general" vertical="center" textRotation="0" wrapText="false" indent="0" shrinkToFit="false"/>
      <protection locked="true" hidden="false"/>
    </xf>
    <xf numFmtId="164" fontId="4" fillId="1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11"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12" borderId="1" xfId="0" applyFont="true" applyBorder="true" applyAlignment="true" applyProtection="false">
      <alignment horizontal="general" vertical="center" textRotation="0" wrapText="false" indent="0" shrinkToFit="false"/>
      <protection locked="true" hidden="false"/>
    </xf>
    <xf numFmtId="164" fontId="6" fillId="13"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11"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4" fillId="1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6" fillId="15"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4E79"/>
          <bgColor rgb="FF000000"/>
        </patternFill>
      </fill>
    </dxf>
    <dxf>
      <fill>
        <patternFill patternType="solid">
          <fgColor rgb="FFD6E4F0"/>
          <bgColor rgb="FF000000"/>
        </patternFill>
      </fill>
    </dxf>
    <dxf>
      <fill>
        <patternFill patternType="solid">
          <fgColor rgb="FF0563C1"/>
          <bgColor rgb="FF000000"/>
        </patternFill>
      </fill>
    </dxf>
    <dxf>
      <fill>
        <patternFill patternType="solid">
          <fgColor rgb="FFFFFFFF"/>
          <bgColor rgb="FF000000"/>
        </patternFill>
      </fill>
    </dxf>
    <dxf>
      <fill>
        <patternFill patternType="soli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9C0006"/>
          <bgColor rgb="FF000000"/>
        </patternFill>
      </fill>
    </dxf>
    <dxf>
      <fill>
        <patternFill patternType="solid">
          <fgColor rgb="FF9C6500"/>
          <bgColor rgb="FF000000"/>
        </patternFill>
      </fill>
    </dxf>
    <dxf>
      <fill>
        <patternFill patternType="solid">
          <fgColor rgb="FF44546A"/>
          <bgColor rgb="FF000000"/>
        </patternFill>
      </fill>
    </dxf>
    <dxf>
      <fill>
        <patternFill patternType="solid">
          <fgColor rgb="FFE8EAED"/>
          <bgColor rgb="FF000000"/>
        </patternFill>
      </fill>
    </dxf>
    <dxf>
      <fill>
        <patternFill patternType="solid">
          <fgColor rgb="FF375623"/>
          <bgColor rgb="FF000000"/>
        </patternFill>
      </fill>
    </dxf>
    <dxf>
      <fill>
        <patternFill patternType="solid">
          <fgColor rgb="FFEBF1DE"/>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2E75B6"/>
          <bgColor rgb="FF000000"/>
        </patternFill>
      </fill>
    </dxf>
    <dxf>
      <fill>
        <patternFill patternType="solid">
          <fgColor rgb="FFE2EFDA"/>
          <bgColor rgb="FF000000"/>
        </patternFill>
      </fill>
    </dxf>
    <dxf>
      <fill>
        <patternFill patternType="solid">
          <fgColor rgb="FFEBF3FB"/>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CCCCC"/>
      <rgbColor rgb="FF888888"/>
      <rgbColor rgb="FF9999FF"/>
      <rgbColor rgb="FF993366"/>
      <rgbColor rgb="FFFFF2CC"/>
      <rgbColor rgb="FFEBF3FB"/>
      <rgbColor rgb="FF660066"/>
      <rgbColor rgb="FFFF8080"/>
      <rgbColor rgb="FF0563C1"/>
      <rgbColor rgb="FFD6E4F0"/>
      <rgbColor rgb="FF000080"/>
      <rgbColor rgb="FFFF00FF"/>
      <rgbColor rgb="FFFFFF00"/>
      <rgbColor rgb="FF00FFFF"/>
      <rgbColor rgb="FF800080"/>
      <rgbColor rgb="FF800000"/>
      <rgbColor rgb="FF008080"/>
      <rgbColor rgb="FF0000FF"/>
      <rgbColor rgb="FF00CCFF"/>
      <rgbColor rgb="FFEBF1DE"/>
      <rgbColor rgb="FFE2EFDA"/>
      <rgbColor rgb="FFFFEB9C"/>
      <rgbColor rgb="FFE8EAED"/>
      <rgbColor rgb="FFFF99CC"/>
      <rgbColor rgb="FFCC99FF"/>
      <rgbColor rgb="FFFFC7CE"/>
      <rgbColor rgb="FF2E75B6"/>
      <rgbColor rgb="FF33CCCC"/>
      <rgbColor rgb="FF99CC00"/>
      <rgbColor rgb="FFFFCC00"/>
      <rgbColor rgb="FFFF9900"/>
      <rgbColor rgb="FFFF6600"/>
      <rgbColor rgb="FF44546A"/>
      <rgbColor rgb="FF969696"/>
      <rgbColor rgb="FF003366"/>
      <rgbColor rgb="FF339966"/>
      <rgbColor rgb="FF003300"/>
      <rgbColor rgb="FF333300"/>
      <rgbColor rgb="FF9C65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TabelaAcompanhamento" displayName="TabelaAcompanhamento" ref="A1:I10" headerRowCount="1" totalsRowCount="0" totalsRowShown="0">
  <autoFilter ref="A1:I10"/>
  <tableColumns count="9">
    <tableColumn id="1" name="Issue Acompanhamento"/>
    <tableColumn id="2" name="Issue Original"/>
    <tableColumn id="3" name="Responsável"/>
    <tableColumn id="4" name="Área"/>
    <tableColumn id="5" name="Ação"/>
    <tableColumn id="6" name="Status da Ação"/>
    <tableColumn id="7" name="Data Limite"/>
    <tableColumn id="8" name="Data Conclusão"/>
    <tableColumn id="9" name="Observação"/>
  </tableColumns>
</table>
</file>

<file path=xl/tables/table2.xml><?xml version="1.0" encoding="utf-8"?>
<table xmlns="http://schemas.openxmlformats.org/spreadsheetml/2006/main" id="2" name="TabelaDados" displayName="TabelaDados" ref="A1:AB37" headerRowCount="1" totalsRowCount="0" totalsRowShown="0">
  <autoFilter ref="A1:AB37"/>
  <tableColumns count="28">
    <tableColumn id="1" name="Key"/>
    <tableColumn id="2" name="Resumo"/>
    <tableColumn id="3" name="Status Jira"/>
    <tableColumn id="4" name="Prioridade"/>
    <tableColumn id="5" name="Data Criação"/>
    <tableColumn id="6" name="Data Resolução"/>
    <tableColumn id="7" name="Dias p/ Resolver"/>
    <tableColumn id="8" name="DeV Responsável pelo Bug"/>
    <tableColumn id="9" name="QA Responsável pelo Bug"/>
    <tableColumn id="10" name="Qtd Vínculos"/>
    <tableColumn id="11" name="Causa Raiz"/>
    <tableColumn id="12" name="Time"/>
    <tableColumn id="13" name="Área"/>
    <tableColumn id="14" name="Tipo Erro (Auto)"/>
    <tableColumn id="15" name="Ação Realizada no Bug"/>
    <tableColumn id="16" name="Análise da Causa"/>
    <tableColumn id="17" name="Tipo de Ajuste"/>
    <tableColumn id="18" name="Possui TA"/>
    <tableColumn id="19" name="Arquivo TA"/>
    <tableColumn id="20" name="Resultado da Automação"/>
    <tableColumn id="21" name="Contexto"/>
    <tableColumn id="22" name="Problema Resolvido?"/>
    <tableColumn id="23" name="QA Principal"/>
    <tableColumn id="24" name="Dev Principal"/>
    <tableColumn id="25" name="Issue de Acompanhamento"/>
    <tableColumn id="26" name="Plano Ação/Lição Aprendida"/>
    <tableColumn id="27" name="Analisado"/>
    <tableColumn id="28" name="Data Filtragem"/>
  </tableColumns>
</table>
</file>

<file path=xl/tables/table3.xml><?xml version="1.0" encoding="utf-8"?>
<table xmlns="http://schemas.openxmlformats.org/spreadsheetml/2006/main" id="3" name="TabelaResponsaveis" displayName="TabelaResponsaveis" ref="A1:F23" headerRowCount="1" totalsRowCount="0" totalsRowShown="0">
  <autoFilter ref="A1:F23"/>
  <tableColumns count="6">
    <tableColumn id="1" name="Time"/>
    <tableColumn id="2" name="Área"/>
    <tableColumn id="3" name="QA Principal"/>
    <tableColumn id="4" name="QA Secundário"/>
    <tableColumn id="5" name="Dev Principal"/>
    <tableColumn id="6" name="Dev Secundári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jira.linx.com.br/browse/MODAJOI-100985" TargetMode="External"/><Relationship Id="rId2" Type="http://schemas.openxmlformats.org/officeDocument/2006/relationships/hyperlink" Target="https://jira.linx.com.br/browse/MODAJOI-101207" TargetMode="External"/><Relationship Id="rId3" Type="http://schemas.openxmlformats.org/officeDocument/2006/relationships/hyperlink" Target="https://jira.linx.com.br/browse/MODAJOI-100887" TargetMode="External"/><Relationship Id="rId4" Type="http://schemas.openxmlformats.org/officeDocument/2006/relationships/hyperlink" Target="https://jira.linx.com.br/browse/MODAJOI-101185" TargetMode="External"/><Relationship Id="rId5" Type="http://schemas.openxmlformats.org/officeDocument/2006/relationships/hyperlink" Target="https://jira.linx.com.br/browse/MODAJOI-101011" TargetMode="External"/><Relationship Id="rId6" Type="http://schemas.openxmlformats.org/officeDocument/2006/relationships/hyperlink" Target="https://jira.linx.com.br/browse/MODAJOI-101378" TargetMode="External"/><Relationship Id="rId7" Type="http://schemas.openxmlformats.org/officeDocument/2006/relationships/hyperlink" Target="https://jira.linx.com.br/browse/MODAJOI-100894" TargetMode="External"/><Relationship Id="rId8" Type="http://schemas.openxmlformats.org/officeDocument/2006/relationships/hyperlink" Target="https://jira.linx.com.br/browse/MODAJOI-101199" TargetMode="External"/><Relationship Id="rId9" Type="http://schemas.openxmlformats.org/officeDocument/2006/relationships/hyperlink" Target="https://jira.linx.com.br/browse/MODAJOI-100808" TargetMode="External"/><Relationship Id="rId10" Type="http://schemas.openxmlformats.org/officeDocument/2006/relationships/hyperlink" Target="https://jira.linx.com.br/browse/MODAJOI-100833" TargetMode="External"/><Relationship Id="rId11" Type="http://schemas.openxmlformats.org/officeDocument/2006/relationships/hyperlink" Target="https://jira.linx.com.br/browse/MODAJOI-101292" TargetMode="External"/><Relationship Id="rId12" Type="http://schemas.openxmlformats.org/officeDocument/2006/relationships/hyperlink" Target="https://jira.linx.com.br/browse/MODAJOI-100934" TargetMode="External"/><Relationship Id="rId13" Type="http://schemas.openxmlformats.org/officeDocument/2006/relationships/hyperlink" Target="https://jira.linx.com.br/browse/MODAJOI-100979" TargetMode="External"/><Relationship Id="rId14" Type="http://schemas.openxmlformats.org/officeDocument/2006/relationships/hyperlink" Target="https://jira.linx.com.br/browse/MODAJOI-101067" TargetMode="External"/><Relationship Id="rId15" Type="http://schemas.openxmlformats.org/officeDocument/2006/relationships/hyperlink" Target="https://jira.linx.com.br/browse/MODAJOI-100733" TargetMode="External"/><Relationship Id="rId16" Type="http://schemas.openxmlformats.org/officeDocument/2006/relationships/hyperlink" Target="https://jira.linx.com.br/browse/MODAJOI-100388" TargetMode="External"/><Relationship Id="rId17" Type="http://schemas.openxmlformats.org/officeDocument/2006/relationships/hyperlink" Target="https://jira.linx.com.br/browse/MODAJOI-101005" TargetMode="External"/><Relationship Id="rId18" Type="http://schemas.openxmlformats.org/officeDocument/2006/relationships/hyperlink" Target="https://jira.linx.com.br/browse/MODAJOI-100867" TargetMode="External"/><Relationship Id="rId19" Type="http://schemas.openxmlformats.org/officeDocument/2006/relationships/hyperlink" Target="https://jira.linx.com.br/browse/MODAJOI-100396" TargetMode="External"/><Relationship Id="rId20" Type="http://schemas.openxmlformats.org/officeDocument/2006/relationships/hyperlink" Target="https://jira.linx.com.br/browse/MODAJOI-100761" TargetMode="External"/><Relationship Id="rId21" Type="http://schemas.openxmlformats.org/officeDocument/2006/relationships/hyperlink" Target="https://jira.linx.com.br/browse/MODAJOI-100652" TargetMode="External"/><Relationship Id="rId22" Type="http://schemas.openxmlformats.org/officeDocument/2006/relationships/hyperlink" Target="https://jira.linx.com.br/browse/MODAJOI-100187" TargetMode="External"/><Relationship Id="rId23" Type="http://schemas.openxmlformats.org/officeDocument/2006/relationships/hyperlink" Target="https://jira.linx.com.br/browse/MODAJOI-99532" TargetMode="External"/><Relationship Id="rId24" Type="http://schemas.openxmlformats.org/officeDocument/2006/relationships/hyperlink" Target="https://jira.linx.com.br/browse/MODAJOI-100251" TargetMode="External"/><Relationship Id="rId25" Type="http://schemas.openxmlformats.org/officeDocument/2006/relationships/hyperlink" Target="https://jira.linx.com.br/browse/MODAJOI-100393" TargetMode="External"/><Relationship Id="rId26" Type="http://schemas.openxmlformats.org/officeDocument/2006/relationships/hyperlink" Target="https://jira.linx.com.br/browse/MODAJOI-100578" TargetMode="External"/><Relationship Id="rId27" Type="http://schemas.openxmlformats.org/officeDocument/2006/relationships/hyperlink" Target="https://jira.linx.com.br/browse/MODAJOI-100461" TargetMode="External"/><Relationship Id="rId28" Type="http://schemas.openxmlformats.org/officeDocument/2006/relationships/hyperlink" Target="https://jira.linx.com.br/browse/MODAJOI-100418" TargetMode="External"/><Relationship Id="rId29"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hyperlink" Target="https://jira.linx.com.br/browse/MODAJOI-100934" TargetMode="External"/><Relationship Id="rId2" Type="http://schemas.openxmlformats.org/officeDocument/2006/relationships/hyperlink" Target="https://jira.linx.com.br/browse/MODAJOI-100979" TargetMode="External"/><Relationship Id="rId3" Type="http://schemas.openxmlformats.org/officeDocument/2006/relationships/hyperlink" Target="https://jira.linx.com.br/browse/MODAJOI-100396" TargetMode="External"/><Relationship Id="rId4" Type="http://schemas.openxmlformats.org/officeDocument/2006/relationships/hyperlink" Target="https://jira.linx.com.br/browse/MODAJOI-100652" TargetMode="External"/><Relationship Id="rId5" Type="http://schemas.openxmlformats.org/officeDocument/2006/relationships/hyperlink" Target="https://jira.linx.com.br/browse/MODAJOI-100187" TargetMode="External"/><Relationship Id="rId6" Type="http://schemas.openxmlformats.org/officeDocument/2006/relationships/hyperlink" Target="https://jira.linx.com.br/browse/MODAJOI-100578" TargetMode="External"/><Relationship Id="rId7" Type="http://schemas.openxmlformats.org/officeDocument/2006/relationships/hyperlink" Target="https://jira.linx.com.br/browse/MODAJOI-100461" TargetMode="External"/><Relationship Id="rId8" Type="http://schemas.openxmlformats.org/officeDocument/2006/relationships/hyperlink" Target="https://jira.linx.com.br/browse/MODAJOI-100418" TargetMode="External"/><Relationship Id="rId9" Type="http://schemas.openxmlformats.org/officeDocument/2006/relationships/hyperlink" Target="https://jira.linx.com.br/browse/MODAJOI-100985" TargetMode="External"/><Relationship Id="rId10" Type="http://schemas.openxmlformats.org/officeDocument/2006/relationships/hyperlink" Target="https://jira.linx.com.br/browse/MODAJOI-101207" TargetMode="External"/><Relationship Id="rId11" Type="http://schemas.openxmlformats.org/officeDocument/2006/relationships/hyperlink" Target="https://jira.linx.com.br/browse/MODAJOI-101207" TargetMode="External"/><Relationship Id="rId12" Type="http://schemas.openxmlformats.org/officeDocument/2006/relationships/hyperlink" Target="https://jira.linx.com.br/browse/MODAJOI-100887" TargetMode="External"/><Relationship Id="rId13" Type="http://schemas.openxmlformats.org/officeDocument/2006/relationships/hyperlink" Target="https://jira.linx.com.br/browse/MODAJOI-101011" TargetMode="External"/><Relationship Id="rId14" Type="http://schemas.openxmlformats.org/officeDocument/2006/relationships/hyperlink" Target="https://jira.linx.com.br/browse/MODAJOI-100894" TargetMode="External"/><Relationship Id="rId15" Type="http://schemas.openxmlformats.org/officeDocument/2006/relationships/hyperlink" Target="https://jira.linx.com.br/browse/MODAJOI-101199" TargetMode="External"/><Relationship Id="rId16" Type="http://schemas.openxmlformats.org/officeDocument/2006/relationships/hyperlink" Target="https://jira.linx.com.br/browse/MODAJOI-101199" TargetMode="External"/><Relationship Id="rId17"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7"/>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0" ySplit="1" topLeftCell="K2" activePane="bottomLeft" state="frozen"/>
      <selection pane="topLeft" activeCell="A1" activeCellId="0" sqref="A1"/>
      <selection pane="bottomLeft" activeCell="B45" activeCellId="0" sqref="B45"/>
    </sheetView>
  </sheetViews>
  <sheetFormatPr defaultColWidth="8.5703125" defaultRowHeight="15" customHeight="false"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15"/>
    <col collapsed="false" customWidth="true" hidden="false" outlineLevel="0" max="4" min="4" style="0" width="13"/>
    <col collapsed="false" customWidth="true" hidden="false" outlineLevel="0" max="7" min="5" style="0" width="14"/>
    <col collapsed="false" customWidth="true" hidden="false" outlineLevel="0" max="9" min="8" style="0" width="20"/>
    <col collapsed="false" customWidth="true" hidden="false" outlineLevel="0" max="10" min="10" style="0" width="13"/>
    <col collapsed="false" customWidth="true" hidden="false" outlineLevel="0" max="11" min="11" style="0" width="40"/>
    <col collapsed="false" customWidth="true" hidden="false" outlineLevel="0" max="12" min="12" style="0" width="16"/>
    <col collapsed="false" customWidth="true" hidden="false" outlineLevel="0" max="14" min="13" style="0" width="18"/>
    <col collapsed="false" customWidth="true" hidden="false" outlineLevel="0" max="15" min="15" style="0" width="50"/>
    <col collapsed="false" customWidth="true" hidden="false" outlineLevel="0" max="16" min="16" style="1" width="40"/>
    <col collapsed="false" customWidth="true" hidden="false" outlineLevel="0" max="17" min="17" style="0" width="22"/>
    <col collapsed="false" customWidth="true" hidden="false" outlineLevel="0" max="18" min="18" style="0" width="14"/>
    <col collapsed="false" customWidth="true" hidden="false" outlineLevel="0" max="19" min="19" style="1" width="35"/>
    <col collapsed="false" customWidth="true" hidden="false" outlineLevel="0" max="20" min="20" style="0" width="20"/>
    <col collapsed="false" customWidth="true" hidden="false" outlineLevel="0" max="21" min="21" style="0" width="40"/>
    <col collapsed="false" customWidth="true" hidden="false" outlineLevel="0" max="25" min="22" style="0" width="18"/>
    <col collapsed="false" customWidth="true" hidden="false" outlineLevel="0" max="26" min="26" style="0" width="32"/>
    <col collapsed="false" customWidth="true" hidden="false" outlineLevel="0" max="28" min="27" style="0" width="14"/>
  </cols>
  <sheetData>
    <row r="1" customFormat="false" ht="36" hidden="false" customHeight="true" outlineLevel="0" collapsed="false">
      <c r="A1" s="2" t="s">
        <v>0</v>
      </c>
      <c r="B1" s="2" t="s">
        <v>1</v>
      </c>
      <c r="C1" s="2" t="s">
        <v>2</v>
      </c>
      <c r="D1" s="2" t="s">
        <v>3</v>
      </c>
      <c r="E1" s="2" t="s">
        <v>4</v>
      </c>
      <c r="F1" s="2" t="s">
        <v>5</v>
      </c>
      <c r="G1" s="2" t="s">
        <v>6</v>
      </c>
      <c r="H1" s="2" t="s">
        <v>7</v>
      </c>
      <c r="I1" s="2" t="s">
        <v>8</v>
      </c>
      <c r="J1" s="2" t="s">
        <v>9</v>
      </c>
      <c r="K1" s="2" t="s">
        <v>10</v>
      </c>
      <c r="L1" s="3" t="s">
        <v>11</v>
      </c>
      <c r="M1" s="3" t="s">
        <v>12</v>
      </c>
      <c r="N1" s="3" t="s">
        <v>13</v>
      </c>
      <c r="O1" s="3" t="s">
        <v>14</v>
      </c>
      <c r="P1" s="4" t="s">
        <v>15</v>
      </c>
      <c r="Q1" s="4" t="s">
        <v>16</v>
      </c>
      <c r="R1" s="4" t="s">
        <v>17</v>
      </c>
      <c r="S1" s="4" t="s">
        <v>18</v>
      </c>
      <c r="T1" s="4" t="s">
        <v>19</v>
      </c>
      <c r="U1" s="4" t="s">
        <v>20</v>
      </c>
      <c r="V1" s="4" t="s">
        <v>21</v>
      </c>
      <c r="W1" s="4" t="s">
        <v>22</v>
      </c>
      <c r="X1" s="4" t="s">
        <v>23</v>
      </c>
      <c r="Y1" s="4" t="s">
        <v>24</v>
      </c>
      <c r="Z1" s="4" t="s">
        <v>25</v>
      </c>
      <c r="AA1" s="4" t="s">
        <v>26</v>
      </c>
      <c r="AB1" s="4" t="s">
        <v>27</v>
      </c>
    </row>
    <row r="2" customFormat="false" ht="39.75" hidden="false" customHeight="true" outlineLevel="0" collapsed="false">
      <c r="A2" s="5" t="s">
        <v>28</v>
      </c>
      <c r="B2" s="6" t="s">
        <v>29</v>
      </c>
      <c r="C2" s="6" t="s">
        <v>30</v>
      </c>
      <c r="D2" s="6" t="s">
        <v>31</v>
      </c>
      <c r="E2" s="7" t="n">
        <v>46099</v>
      </c>
      <c r="F2" s="7" t="n">
        <v>46108</v>
      </c>
      <c r="G2" s="8" t="n">
        <f aca="false">IF(OR(E2="",F2=""),"",INT(F2-E2))</f>
        <v>9</v>
      </c>
      <c r="H2" s="6" t="s">
        <v>32</v>
      </c>
      <c r="I2" s="6" t="s">
        <v>33</v>
      </c>
      <c r="J2" s="9" t="n">
        <v>19</v>
      </c>
      <c r="K2" s="6" t="s">
        <v>29</v>
      </c>
      <c r="L2" s="10" t="s">
        <v>34</v>
      </c>
      <c r="M2" s="10" t="s">
        <v>35</v>
      </c>
      <c r="N2" s="10" t="s">
        <v>36</v>
      </c>
      <c r="O2" s="11" t="s">
        <v>37</v>
      </c>
      <c r="P2" s="12" t="s">
        <v>38</v>
      </c>
      <c r="Q2" s="13" t="s">
        <v>39</v>
      </c>
      <c r="R2" s="13" t="s">
        <v>40</v>
      </c>
      <c r="S2" s="12" t="s">
        <v>41</v>
      </c>
      <c r="T2" s="13" t="s">
        <v>42</v>
      </c>
      <c r="U2" s="13" t="s">
        <v>43</v>
      </c>
      <c r="V2" s="13" t="s">
        <v>40</v>
      </c>
      <c r="W2" s="13" t="s">
        <v>44</v>
      </c>
      <c r="X2" s="13" t="s">
        <v>45</v>
      </c>
      <c r="Y2" s="13" t="n">
        <v>310301</v>
      </c>
      <c r="Z2" s="13" t="s">
        <v>46</v>
      </c>
      <c r="AA2" s="14" t="s">
        <v>40</v>
      </c>
      <c r="AB2" s="15" t="n">
        <v>46111</v>
      </c>
    </row>
    <row r="3" customFormat="false" ht="39.75" hidden="false" customHeight="true" outlineLevel="0" collapsed="false">
      <c r="A3" s="5" t="s">
        <v>47</v>
      </c>
      <c r="B3" s="16" t="s">
        <v>48</v>
      </c>
      <c r="C3" s="6" t="s">
        <v>30</v>
      </c>
      <c r="D3" s="6" t="s">
        <v>49</v>
      </c>
      <c r="E3" s="7" t="n">
        <v>46106</v>
      </c>
      <c r="F3" s="7" t="n">
        <v>46111</v>
      </c>
      <c r="G3" s="8" t="n">
        <f aca="false">IF(OR(E3="",F3=""),"",INT(F3-E3))</f>
        <v>5</v>
      </c>
      <c r="H3" s="6" t="s">
        <v>50</v>
      </c>
      <c r="I3" s="6" t="s">
        <v>51</v>
      </c>
      <c r="J3" s="9" t="n">
        <v>8</v>
      </c>
      <c r="K3" s="16" t="s">
        <v>48</v>
      </c>
      <c r="L3" s="10" t="s">
        <v>52</v>
      </c>
      <c r="M3" s="10" t="s">
        <v>53</v>
      </c>
      <c r="N3" s="10" t="s">
        <v>36</v>
      </c>
      <c r="O3" s="11" t="s">
        <v>54</v>
      </c>
      <c r="P3" s="12" t="s">
        <v>55</v>
      </c>
      <c r="Q3" s="13" t="s">
        <v>39</v>
      </c>
      <c r="R3" s="13" t="s">
        <v>40</v>
      </c>
      <c r="S3" s="12" t="s">
        <v>56</v>
      </c>
      <c r="T3" s="13" t="s">
        <v>42</v>
      </c>
      <c r="U3" s="12" t="s">
        <v>57</v>
      </c>
      <c r="V3" s="13" t="s">
        <v>40</v>
      </c>
      <c r="W3" s="13" t="s">
        <v>58</v>
      </c>
      <c r="X3" s="13" t="s">
        <v>59</v>
      </c>
      <c r="Y3" s="13" t="s">
        <v>60</v>
      </c>
      <c r="Z3" s="12" t="s">
        <v>61</v>
      </c>
      <c r="AA3" s="14" t="s">
        <v>40</v>
      </c>
      <c r="AB3" s="15" t="n">
        <v>46111</v>
      </c>
    </row>
    <row r="4" customFormat="false" ht="46.35" hidden="false" customHeight="false" outlineLevel="0" collapsed="false">
      <c r="A4" s="5" t="s">
        <v>62</v>
      </c>
      <c r="B4" s="16" t="s">
        <v>63</v>
      </c>
      <c r="C4" s="6" t="s">
        <v>30</v>
      </c>
      <c r="D4" s="6" t="s">
        <v>49</v>
      </c>
      <c r="E4" s="7" t="n">
        <v>46098</v>
      </c>
      <c r="F4" s="7" t="n">
        <v>46111</v>
      </c>
      <c r="G4" s="8" t="n">
        <f aca="false">IF(OR(E4="",F4=""),"",INT(F4-E4))</f>
        <v>13</v>
      </c>
      <c r="H4" s="6" t="s">
        <v>64</v>
      </c>
      <c r="I4" s="6" t="s">
        <v>65</v>
      </c>
      <c r="J4" s="9" t="n">
        <v>5</v>
      </c>
      <c r="K4" s="16" t="s">
        <v>63</v>
      </c>
      <c r="L4" s="10" t="s">
        <v>34</v>
      </c>
      <c r="M4" s="10" t="s">
        <v>35</v>
      </c>
      <c r="N4" s="10" t="s">
        <v>36</v>
      </c>
      <c r="O4" s="11" t="s">
        <v>66</v>
      </c>
      <c r="P4" s="12" t="s">
        <v>67</v>
      </c>
      <c r="Q4" s="13" t="s">
        <v>39</v>
      </c>
      <c r="R4" s="13" t="s">
        <v>68</v>
      </c>
      <c r="S4" s="12"/>
      <c r="T4" s="13" t="s">
        <v>42</v>
      </c>
      <c r="U4" s="13"/>
      <c r="V4" s="13" t="s">
        <v>40</v>
      </c>
      <c r="W4" s="13" t="s">
        <v>44</v>
      </c>
      <c r="X4" s="13" t="s">
        <v>45</v>
      </c>
      <c r="Y4" s="17" t="n">
        <v>310304</v>
      </c>
      <c r="Z4" s="13" t="s">
        <v>69</v>
      </c>
      <c r="AA4" s="14" t="s">
        <v>40</v>
      </c>
      <c r="AB4" s="15" t="n">
        <v>46111</v>
      </c>
    </row>
    <row r="5" customFormat="false" ht="55.4" hidden="false" customHeight="false" outlineLevel="0" collapsed="false">
      <c r="A5" s="5" t="s">
        <v>70</v>
      </c>
      <c r="B5" s="6" t="s">
        <v>71</v>
      </c>
      <c r="C5" s="6" t="s">
        <v>30</v>
      </c>
      <c r="D5" s="6" t="s">
        <v>72</v>
      </c>
      <c r="E5" s="7" t="n">
        <v>46105</v>
      </c>
      <c r="F5" s="7" t="n">
        <v>46106</v>
      </c>
      <c r="G5" s="8" t="n">
        <f aca="false">IF(OR(E5="",F5=""),"",INT(F5-E5))</f>
        <v>1</v>
      </c>
      <c r="H5" s="6" t="s">
        <v>73</v>
      </c>
      <c r="I5" s="6"/>
      <c r="J5" s="18" t="n">
        <v>3</v>
      </c>
      <c r="K5" s="16" t="s">
        <v>74</v>
      </c>
      <c r="L5" s="10" t="s">
        <v>34</v>
      </c>
      <c r="M5" s="10" t="s">
        <v>35</v>
      </c>
      <c r="N5" s="10" t="s">
        <v>75</v>
      </c>
      <c r="O5" s="11" t="s">
        <v>76</v>
      </c>
      <c r="P5" s="12" t="s">
        <v>77</v>
      </c>
      <c r="Q5" s="13"/>
      <c r="R5" s="13" t="s">
        <v>40</v>
      </c>
      <c r="S5" s="12" t="s">
        <v>78</v>
      </c>
      <c r="T5" s="13" t="s">
        <v>42</v>
      </c>
      <c r="U5" s="13"/>
      <c r="V5" s="13" t="s">
        <v>40</v>
      </c>
      <c r="W5" s="13" t="s">
        <v>44</v>
      </c>
      <c r="X5" s="13" t="s">
        <v>45</v>
      </c>
      <c r="Y5" s="13"/>
      <c r="Z5" s="13"/>
      <c r="AA5" s="14" t="s">
        <v>40</v>
      </c>
      <c r="AB5" s="15" t="n">
        <v>46111</v>
      </c>
    </row>
    <row r="6" customFormat="false" ht="64.45" hidden="false" customHeight="false" outlineLevel="0" collapsed="false">
      <c r="A6" s="5" t="s">
        <v>79</v>
      </c>
      <c r="B6" s="6" t="s">
        <v>80</v>
      </c>
      <c r="C6" s="6" t="s">
        <v>30</v>
      </c>
      <c r="D6" s="6" t="s">
        <v>31</v>
      </c>
      <c r="E6" s="7" t="n">
        <v>46100</v>
      </c>
      <c r="F6" s="7" t="n">
        <v>46106</v>
      </c>
      <c r="G6" s="8" t="n">
        <f aca="false">IF(OR(E6="",F6=""),"",INT(F6-E6))</f>
        <v>6</v>
      </c>
      <c r="H6" s="6" t="s">
        <v>81</v>
      </c>
      <c r="I6" s="6"/>
      <c r="J6" s="6" t="n">
        <v>1</v>
      </c>
      <c r="K6" s="6" t="s">
        <v>80</v>
      </c>
      <c r="L6" s="10" t="s">
        <v>52</v>
      </c>
      <c r="M6" s="10" t="s">
        <v>82</v>
      </c>
      <c r="N6" s="10" t="s">
        <v>75</v>
      </c>
      <c r="O6" s="11" t="s">
        <v>83</v>
      </c>
      <c r="P6" s="12" t="s">
        <v>84</v>
      </c>
      <c r="Q6" s="13"/>
      <c r="R6" s="13" t="s">
        <v>40</v>
      </c>
      <c r="S6" s="12" t="s">
        <v>85</v>
      </c>
      <c r="T6" s="13" t="s">
        <v>42</v>
      </c>
      <c r="U6" s="12" t="s">
        <v>86</v>
      </c>
      <c r="V6" s="13" t="s">
        <v>40</v>
      </c>
      <c r="W6" s="13" t="s">
        <v>87</v>
      </c>
      <c r="X6" s="13" t="s">
        <v>88</v>
      </c>
      <c r="Y6" s="13" t="n">
        <v>310305</v>
      </c>
      <c r="Z6" s="13" t="s">
        <v>89</v>
      </c>
      <c r="AA6" s="14" t="s">
        <v>40</v>
      </c>
      <c r="AB6" s="15" t="n">
        <v>46111</v>
      </c>
    </row>
    <row r="7" customFormat="false" ht="63.75" hidden="false" customHeight="true" outlineLevel="0" collapsed="false">
      <c r="A7" s="5" t="s">
        <v>90</v>
      </c>
      <c r="B7" s="16" t="s">
        <v>91</v>
      </c>
      <c r="C7" s="6" t="s">
        <v>30</v>
      </c>
      <c r="D7" s="6" t="s">
        <v>31</v>
      </c>
      <c r="E7" s="7" t="n">
        <v>46108</v>
      </c>
      <c r="F7" s="7" t="n">
        <v>46109</v>
      </c>
      <c r="G7" s="8" t="n">
        <f aca="false">IF(OR(E7="",F7=""),"",INT(F7-E7))</f>
        <v>1</v>
      </c>
      <c r="H7" s="6" t="s">
        <v>92</v>
      </c>
      <c r="I7" s="6"/>
      <c r="J7" s="6" t="n">
        <v>1</v>
      </c>
      <c r="K7" s="16" t="s">
        <v>91</v>
      </c>
      <c r="L7" s="10" t="s">
        <v>52</v>
      </c>
      <c r="M7" s="10" t="s">
        <v>93</v>
      </c>
      <c r="N7" s="10" t="s">
        <v>36</v>
      </c>
      <c r="O7" s="11" t="s">
        <v>94</v>
      </c>
      <c r="P7" s="12" t="s">
        <v>95</v>
      </c>
      <c r="Q7" s="13" t="s">
        <v>75</v>
      </c>
      <c r="R7" s="13" t="s">
        <v>40</v>
      </c>
      <c r="S7" s="12" t="s">
        <v>96</v>
      </c>
      <c r="T7" s="13" t="s">
        <v>42</v>
      </c>
      <c r="U7" s="13"/>
      <c r="V7" s="13"/>
      <c r="W7" s="13" t="s">
        <v>87</v>
      </c>
      <c r="X7" s="13" t="s">
        <v>88</v>
      </c>
      <c r="Y7" s="13"/>
      <c r="Z7" s="12" t="s">
        <v>97</v>
      </c>
      <c r="AA7" s="14" t="s">
        <v>40</v>
      </c>
      <c r="AB7" s="15" t="n">
        <v>46111</v>
      </c>
    </row>
    <row r="8" customFormat="false" ht="55.4" hidden="false" customHeight="false" outlineLevel="0" collapsed="false">
      <c r="A8" s="5" t="s">
        <v>98</v>
      </c>
      <c r="B8" s="16" t="s">
        <v>99</v>
      </c>
      <c r="C8" s="6" t="s">
        <v>30</v>
      </c>
      <c r="D8" s="6" t="s">
        <v>31</v>
      </c>
      <c r="E8" s="7" t="n">
        <v>46098</v>
      </c>
      <c r="F8" s="7" t="n">
        <v>46111</v>
      </c>
      <c r="G8" s="8" t="n">
        <f aca="false">IF(OR(E8="",F8=""),"",INT(F8-E8))</f>
        <v>13</v>
      </c>
      <c r="H8" s="6" t="s">
        <v>100</v>
      </c>
      <c r="I8" s="6" t="s">
        <v>51</v>
      </c>
      <c r="J8" s="6" t="n">
        <v>1</v>
      </c>
      <c r="K8" s="16" t="s">
        <v>99</v>
      </c>
      <c r="L8" s="10"/>
      <c r="M8" s="10" t="s">
        <v>101</v>
      </c>
      <c r="N8" s="10" t="s">
        <v>102</v>
      </c>
      <c r="O8" s="11" t="s">
        <v>103</v>
      </c>
      <c r="P8" s="12"/>
      <c r="Q8" s="13"/>
      <c r="R8" s="13" t="s">
        <v>68</v>
      </c>
      <c r="S8" s="12"/>
      <c r="T8" s="13"/>
      <c r="U8" s="13"/>
      <c r="V8" s="13" t="s">
        <v>40</v>
      </c>
      <c r="W8" s="13"/>
      <c r="X8" s="13"/>
      <c r="Y8" s="13" t="n">
        <v>310306</v>
      </c>
      <c r="Z8" s="13" t="s">
        <v>104</v>
      </c>
      <c r="AA8" s="14" t="s">
        <v>40</v>
      </c>
      <c r="AB8" s="15" t="n">
        <v>46111</v>
      </c>
    </row>
    <row r="9" customFormat="false" ht="39.75" hidden="false" customHeight="true" outlineLevel="0" collapsed="false">
      <c r="A9" s="5" t="s">
        <v>105</v>
      </c>
      <c r="B9" s="16" t="s">
        <v>106</v>
      </c>
      <c r="C9" s="6" t="s">
        <v>30</v>
      </c>
      <c r="D9" s="6" t="s">
        <v>31</v>
      </c>
      <c r="E9" s="7" t="n">
        <v>46105</v>
      </c>
      <c r="F9" s="7" t="n">
        <v>46111</v>
      </c>
      <c r="G9" s="8" t="n">
        <f aca="false">IF(OR(E9="",F9=""),"",INT(F9-E9))</f>
        <v>6</v>
      </c>
      <c r="H9" s="6" t="s">
        <v>107</v>
      </c>
      <c r="I9" s="6" t="s">
        <v>108</v>
      </c>
      <c r="J9" s="6" t="n">
        <v>1</v>
      </c>
      <c r="K9" s="6" t="s">
        <v>106</v>
      </c>
      <c r="L9" s="10" t="s">
        <v>52</v>
      </c>
      <c r="M9" s="10" t="s">
        <v>109</v>
      </c>
      <c r="N9" s="10" t="s">
        <v>36</v>
      </c>
      <c r="O9" s="11" t="s">
        <v>110</v>
      </c>
      <c r="P9" s="12" t="s">
        <v>111</v>
      </c>
      <c r="Q9" s="13" t="s">
        <v>39</v>
      </c>
      <c r="R9" s="13" t="s">
        <v>68</v>
      </c>
      <c r="S9" s="12"/>
      <c r="T9" s="13"/>
      <c r="U9" s="13"/>
      <c r="V9" s="13" t="s">
        <v>40</v>
      </c>
      <c r="W9" s="13" t="s">
        <v>112</v>
      </c>
      <c r="X9" s="13" t="s">
        <v>113</v>
      </c>
      <c r="Y9" s="13" t="n">
        <v>310307</v>
      </c>
      <c r="Z9" s="13" t="s">
        <v>114</v>
      </c>
      <c r="AA9" s="14" t="s">
        <v>40</v>
      </c>
      <c r="AB9" s="15" t="n">
        <v>46111</v>
      </c>
    </row>
    <row r="10" customFormat="false" ht="39.75" hidden="false" customHeight="true" outlineLevel="0" collapsed="false">
      <c r="A10" s="5" t="s">
        <v>115</v>
      </c>
      <c r="B10" s="6" t="s">
        <v>116</v>
      </c>
      <c r="C10" s="6" t="s">
        <v>30</v>
      </c>
      <c r="D10" s="6" t="s">
        <v>31</v>
      </c>
      <c r="E10" s="7" t="n">
        <v>46097</v>
      </c>
      <c r="F10" s="7" t="n">
        <v>46104</v>
      </c>
      <c r="G10" s="8" t="n">
        <f aca="false">IF(OR(E10="",F10=""),"",INT(F10-E10))</f>
        <v>7</v>
      </c>
      <c r="H10" s="6" t="s">
        <v>100</v>
      </c>
      <c r="I10" s="6" t="s">
        <v>51</v>
      </c>
      <c r="J10" s="6" t="n">
        <v>0</v>
      </c>
      <c r="K10" s="6"/>
      <c r="L10" s="10" t="s">
        <v>117</v>
      </c>
      <c r="M10" s="10" t="s">
        <v>117</v>
      </c>
      <c r="N10" s="10" t="s">
        <v>118</v>
      </c>
      <c r="O10" s="11" t="s">
        <v>119</v>
      </c>
      <c r="P10" s="12" t="s">
        <v>120</v>
      </c>
      <c r="Q10" s="13" t="s">
        <v>75</v>
      </c>
      <c r="R10" s="13"/>
      <c r="S10" s="12"/>
      <c r="T10" s="13" t="s">
        <v>42</v>
      </c>
      <c r="U10" s="13"/>
      <c r="V10" s="13" t="s">
        <v>40</v>
      </c>
      <c r="W10" s="13"/>
      <c r="X10" s="13"/>
      <c r="Y10" s="13"/>
      <c r="Z10" s="19" t="s">
        <v>121</v>
      </c>
      <c r="AA10" s="14" t="s">
        <v>40</v>
      </c>
      <c r="AB10" s="15" t="n">
        <v>46111</v>
      </c>
    </row>
    <row r="11" customFormat="false" ht="39.75" hidden="false" customHeight="true" outlineLevel="0" collapsed="false">
      <c r="A11" s="5" t="s">
        <v>122</v>
      </c>
      <c r="B11" s="6" t="s">
        <v>123</v>
      </c>
      <c r="C11" s="6" t="s">
        <v>30</v>
      </c>
      <c r="D11" s="6" t="s">
        <v>31</v>
      </c>
      <c r="E11" s="7" t="n">
        <v>46107</v>
      </c>
      <c r="F11" s="7" t="n">
        <v>46107</v>
      </c>
      <c r="G11" s="8" t="n">
        <f aca="false">IF(OR(E11="",F11=""),"",INT(F11-E11))</f>
        <v>0</v>
      </c>
      <c r="H11" s="6" t="s">
        <v>100</v>
      </c>
      <c r="I11" s="6" t="s">
        <v>51</v>
      </c>
      <c r="J11" s="6" t="n">
        <v>0</v>
      </c>
      <c r="K11" s="6"/>
      <c r="L11" s="10" t="s">
        <v>52</v>
      </c>
      <c r="M11" s="10" t="s">
        <v>124</v>
      </c>
      <c r="N11" s="10" t="s">
        <v>75</v>
      </c>
      <c r="O11" s="11" t="s">
        <v>125</v>
      </c>
      <c r="P11" s="12" t="s">
        <v>126</v>
      </c>
      <c r="Q11" s="13"/>
      <c r="R11" s="13" t="s">
        <v>68</v>
      </c>
      <c r="S11" s="12"/>
      <c r="T11" s="13"/>
      <c r="U11" s="13"/>
      <c r="V11" s="13" t="s">
        <v>40</v>
      </c>
      <c r="W11" s="13" t="s">
        <v>87</v>
      </c>
      <c r="X11" s="13" t="s">
        <v>88</v>
      </c>
      <c r="Y11" s="13"/>
      <c r="Z11" s="13" t="s">
        <v>127</v>
      </c>
      <c r="AA11" s="14" t="s">
        <v>40</v>
      </c>
      <c r="AB11" s="15" t="n">
        <v>46111</v>
      </c>
    </row>
    <row r="12" customFormat="false" ht="39.75" hidden="false" customHeight="true" outlineLevel="0" collapsed="false">
      <c r="A12" s="5" t="s">
        <v>128</v>
      </c>
      <c r="B12" s="6" t="s">
        <v>129</v>
      </c>
      <c r="C12" s="6" t="s">
        <v>30</v>
      </c>
      <c r="D12" s="6" t="s">
        <v>130</v>
      </c>
      <c r="E12" s="7" t="n">
        <v>46099</v>
      </c>
      <c r="F12" s="7" t="n">
        <v>46101</v>
      </c>
      <c r="G12" s="6" t="n">
        <v>2</v>
      </c>
      <c r="H12" s="6" t="s">
        <v>92</v>
      </c>
      <c r="I12" s="6" t="s">
        <v>65</v>
      </c>
      <c r="J12" s="9" t="n">
        <v>14</v>
      </c>
      <c r="K12" s="6" t="s">
        <v>129</v>
      </c>
      <c r="L12" s="10" t="s">
        <v>52</v>
      </c>
      <c r="M12" s="10" t="s">
        <v>124</v>
      </c>
      <c r="N12" s="10" t="s">
        <v>131</v>
      </c>
      <c r="O12" s="11" t="s">
        <v>132</v>
      </c>
      <c r="P12" s="12" t="s">
        <v>133</v>
      </c>
      <c r="Q12" s="13" t="s">
        <v>39</v>
      </c>
      <c r="R12" s="13" t="s">
        <v>68</v>
      </c>
      <c r="S12" s="12"/>
      <c r="T12" s="13"/>
      <c r="U12" s="13" t="s">
        <v>134</v>
      </c>
      <c r="V12" s="13" t="s">
        <v>40</v>
      </c>
      <c r="W12" s="13" t="s">
        <v>87</v>
      </c>
      <c r="X12" s="13" t="s">
        <v>88</v>
      </c>
      <c r="Y12" s="13" t="n">
        <v>240301</v>
      </c>
      <c r="Z12" s="13" t="s">
        <v>135</v>
      </c>
      <c r="AA12" s="13" t="s">
        <v>40</v>
      </c>
      <c r="AB12" s="15" t="n">
        <v>46104</v>
      </c>
    </row>
    <row r="13" customFormat="false" ht="39.75" hidden="false" customHeight="true" outlineLevel="0" collapsed="false">
      <c r="A13" s="5" t="s">
        <v>136</v>
      </c>
      <c r="B13" s="6" t="s">
        <v>137</v>
      </c>
      <c r="C13" s="6" t="s">
        <v>30</v>
      </c>
      <c r="D13" s="6" t="s">
        <v>49</v>
      </c>
      <c r="E13" s="7" t="n">
        <v>46099</v>
      </c>
      <c r="F13" s="7" t="n">
        <v>46104</v>
      </c>
      <c r="G13" s="6" t="n">
        <v>5</v>
      </c>
      <c r="H13" s="6" t="s">
        <v>107</v>
      </c>
      <c r="I13" s="6" t="s">
        <v>138</v>
      </c>
      <c r="J13" s="9" t="n">
        <v>10</v>
      </c>
      <c r="K13" s="6" t="s">
        <v>137</v>
      </c>
      <c r="L13" s="10" t="s">
        <v>139</v>
      </c>
      <c r="M13" s="10" t="s">
        <v>140</v>
      </c>
      <c r="N13" s="10" t="s">
        <v>141</v>
      </c>
      <c r="O13" s="11" t="s">
        <v>142</v>
      </c>
      <c r="P13" s="12" t="s">
        <v>143</v>
      </c>
      <c r="Q13" s="13" t="s">
        <v>39</v>
      </c>
      <c r="R13" s="13" t="s">
        <v>68</v>
      </c>
      <c r="S13" s="12"/>
      <c r="T13" s="13"/>
      <c r="U13" s="13" t="s">
        <v>144</v>
      </c>
      <c r="V13" s="13" t="s">
        <v>40</v>
      </c>
      <c r="W13" s="13" t="s">
        <v>145</v>
      </c>
      <c r="X13" s="13" t="s">
        <v>146</v>
      </c>
      <c r="Y13" s="13" t="n">
        <v>240302</v>
      </c>
      <c r="Z13" s="13" t="s">
        <v>147</v>
      </c>
      <c r="AA13" s="13" t="s">
        <v>40</v>
      </c>
      <c r="AB13" s="15" t="n">
        <v>46104</v>
      </c>
    </row>
    <row r="14" customFormat="false" ht="39.75" hidden="false" customHeight="true" outlineLevel="0" collapsed="false">
      <c r="A14" s="5" t="s">
        <v>148</v>
      </c>
      <c r="B14" s="6" t="s">
        <v>149</v>
      </c>
      <c r="C14" s="6" t="s">
        <v>30</v>
      </c>
      <c r="D14" s="6" t="s">
        <v>49</v>
      </c>
      <c r="E14" s="7" t="n">
        <v>46101</v>
      </c>
      <c r="F14" s="7" t="n">
        <v>46104</v>
      </c>
      <c r="G14" s="6" t="n">
        <v>3</v>
      </c>
      <c r="H14" s="6" t="s">
        <v>150</v>
      </c>
      <c r="I14" s="6" t="s">
        <v>150</v>
      </c>
      <c r="J14" s="9" t="n">
        <v>6</v>
      </c>
      <c r="K14" s="6" t="s">
        <v>149</v>
      </c>
      <c r="L14" s="10" t="s">
        <v>52</v>
      </c>
      <c r="M14" s="10" t="s">
        <v>124</v>
      </c>
      <c r="N14" s="10" t="s">
        <v>131</v>
      </c>
      <c r="O14" s="11" t="s">
        <v>151</v>
      </c>
      <c r="P14" s="12" t="s">
        <v>152</v>
      </c>
      <c r="Q14" s="13" t="s">
        <v>39</v>
      </c>
      <c r="R14" s="13" t="s">
        <v>68</v>
      </c>
      <c r="S14" s="12"/>
      <c r="T14" s="13"/>
      <c r="U14" s="13" t="s">
        <v>153</v>
      </c>
      <c r="V14" s="13" t="s">
        <v>40</v>
      </c>
      <c r="W14" s="13"/>
      <c r="X14" s="13"/>
      <c r="Y14" s="13"/>
      <c r="Z14" s="13" t="s">
        <v>154</v>
      </c>
      <c r="AA14" s="13" t="s">
        <v>40</v>
      </c>
      <c r="AB14" s="15" t="n">
        <v>46104</v>
      </c>
    </row>
    <row r="15" customFormat="false" ht="39.75" hidden="false" customHeight="true" outlineLevel="0" collapsed="false">
      <c r="A15" s="5" t="s">
        <v>155</v>
      </c>
      <c r="B15" s="6" t="s">
        <v>156</v>
      </c>
      <c r="C15" s="6" t="s">
        <v>30</v>
      </c>
      <c r="D15" s="6" t="s">
        <v>49</v>
      </c>
      <c r="E15" s="7" t="n">
        <v>46094</v>
      </c>
      <c r="F15" s="7" t="n">
        <v>46098</v>
      </c>
      <c r="G15" s="6" t="n">
        <v>4</v>
      </c>
      <c r="H15" s="6" t="s">
        <v>157</v>
      </c>
      <c r="I15" s="6" t="s">
        <v>157</v>
      </c>
      <c r="J15" s="9" t="n">
        <v>5</v>
      </c>
      <c r="K15" s="6" t="s">
        <v>156</v>
      </c>
      <c r="L15" s="10" t="s">
        <v>139</v>
      </c>
      <c r="M15" s="10" t="s">
        <v>158</v>
      </c>
      <c r="N15" s="10" t="s">
        <v>159</v>
      </c>
      <c r="O15" s="11" t="s">
        <v>160</v>
      </c>
      <c r="P15" s="12" t="s">
        <v>161</v>
      </c>
      <c r="Q15" s="13" t="s">
        <v>39</v>
      </c>
      <c r="R15" s="13" t="s">
        <v>40</v>
      </c>
      <c r="S15" s="12" t="s">
        <v>162</v>
      </c>
      <c r="T15" s="13" t="s">
        <v>163</v>
      </c>
      <c r="U15" s="13" t="s">
        <v>164</v>
      </c>
      <c r="V15" s="13" t="s">
        <v>40</v>
      </c>
      <c r="W15" s="13" t="s">
        <v>112</v>
      </c>
      <c r="X15" s="13" t="s">
        <v>113</v>
      </c>
      <c r="Y15" s="13"/>
      <c r="Z15" s="13" t="s">
        <v>165</v>
      </c>
      <c r="AA15" s="13" t="s">
        <v>40</v>
      </c>
      <c r="AB15" s="15" t="n">
        <v>46104</v>
      </c>
    </row>
    <row r="16" customFormat="false" ht="39.75" hidden="false" customHeight="true" outlineLevel="0" collapsed="false">
      <c r="A16" s="5" t="s">
        <v>166</v>
      </c>
      <c r="B16" s="6" t="s">
        <v>167</v>
      </c>
      <c r="C16" s="6" t="s">
        <v>30</v>
      </c>
      <c r="D16" s="6" t="s">
        <v>31</v>
      </c>
      <c r="E16" s="7" t="n">
        <v>46086</v>
      </c>
      <c r="F16" s="7" t="n">
        <v>46101</v>
      </c>
      <c r="G16" s="6" t="n">
        <v>15</v>
      </c>
      <c r="H16" s="6" t="s">
        <v>168</v>
      </c>
      <c r="I16" s="6" t="s">
        <v>169</v>
      </c>
      <c r="J16" s="9" t="n">
        <v>5</v>
      </c>
      <c r="K16" s="6" t="s">
        <v>167</v>
      </c>
      <c r="L16" s="10" t="s">
        <v>34</v>
      </c>
      <c r="M16" s="10" t="s">
        <v>35</v>
      </c>
      <c r="N16" s="10" t="s">
        <v>102</v>
      </c>
      <c r="O16" s="11" t="s">
        <v>170</v>
      </c>
      <c r="P16" s="12" t="s">
        <v>171</v>
      </c>
      <c r="Q16" s="13" t="s">
        <v>39</v>
      </c>
      <c r="R16" s="13" t="s">
        <v>40</v>
      </c>
      <c r="S16" s="12" t="s">
        <v>172</v>
      </c>
      <c r="T16" s="13" t="s">
        <v>163</v>
      </c>
      <c r="U16" s="13" t="s">
        <v>173</v>
      </c>
      <c r="V16" s="13" t="s">
        <v>40</v>
      </c>
      <c r="W16" s="13" t="s">
        <v>44</v>
      </c>
      <c r="X16" s="13" t="s">
        <v>45</v>
      </c>
      <c r="Y16" s="13"/>
      <c r="Z16" s="13" t="s">
        <v>174</v>
      </c>
      <c r="AA16" s="13" t="s">
        <v>40</v>
      </c>
      <c r="AB16" s="15" t="n">
        <v>46104</v>
      </c>
    </row>
    <row r="17" customFormat="false" ht="39.75" hidden="false" customHeight="true" outlineLevel="0" collapsed="false">
      <c r="A17" s="5" t="s">
        <v>175</v>
      </c>
      <c r="B17" s="6" t="s">
        <v>176</v>
      </c>
      <c r="C17" s="6" t="s">
        <v>30</v>
      </c>
      <c r="D17" s="6" t="s">
        <v>31</v>
      </c>
      <c r="E17" s="7" t="n">
        <v>46100</v>
      </c>
      <c r="F17" s="7" t="n">
        <v>46100</v>
      </c>
      <c r="G17" s="6" t="n">
        <v>0</v>
      </c>
      <c r="H17" s="6" t="s">
        <v>177</v>
      </c>
      <c r="I17" s="6" t="s">
        <v>177</v>
      </c>
      <c r="J17" s="6" t="n">
        <v>2</v>
      </c>
      <c r="K17" s="6" t="s">
        <v>176</v>
      </c>
      <c r="L17" s="10" t="s">
        <v>34</v>
      </c>
      <c r="M17" s="10" t="s">
        <v>178</v>
      </c>
      <c r="N17" s="10" t="s">
        <v>131</v>
      </c>
      <c r="O17" s="11" t="s">
        <v>179</v>
      </c>
      <c r="P17" s="12" t="s">
        <v>180</v>
      </c>
      <c r="Q17" s="13" t="s">
        <v>39</v>
      </c>
      <c r="R17" s="13"/>
      <c r="S17" s="12"/>
      <c r="T17" s="13"/>
      <c r="U17" s="13"/>
      <c r="V17" s="13" t="s">
        <v>40</v>
      </c>
      <c r="W17" s="13" t="s">
        <v>181</v>
      </c>
      <c r="X17" s="13" t="s">
        <v>182</v>
      </c>
      <c r="Y17" s="13"/>
      <c r="Z17" s="13" t="s">
        <v>183</v>
      </c>
      <c r="AA17" s="13" t="s">
        <v>40</v>
      </c>
      <c r="AB17" s="15" t="n">
        <v>46104</v>
      </c>
    </row>
    <row r="18" customFormat="false" ht="39.75" hidden="false" customHeight="true" outlineLevel="0" collapsed="false">
      <c r="A18" s="5" t="s">
        <v>184</v>
      </c>
      <c r="B18" s="6" t="s">
        <v>185</v>
      </c>
      <c r="C18" s="6" t="s">
        <v>30</v>
      </c>
      <c r="D18" s="6" t="s">
        <v>31</v>
      </c>
      <c r="E18" s="7" t="n">
        <v>46098</v>
      </c>
      <c r="F18" s="7" t="n">
        <v>46099</v>
      </c>
      <c r="G18" s="6" t="n">
        <v>1</v>
      </c>
      <c r="H18" s="6" t="s">
        <v>50</v>
      </c>
      <c r="I18" s="6"/>
      <c r="J18" s="6" t="n">
        <v>1</v>
      </c>
      <c r="K18" s="6" t="s">
        <v>185</v>
      </c>
      <c r="L18" s="10"/>
      <c r="M18" s="10"/>
      <c r="N18" s="10" t="s">
        <v>75</v>
      </c>
      <c r="O18" s="11" t="s">
        <v>186</v>
      </c>
      <c r="P18" s="12" t="s">
        <v>187</v>
      </c>
      <c r="Q18" s="13"/>
      <c r="R18" s="13" t="s">
        <v>68</v>
      </c>
      <c r="S18" s="12"/>
      <c r="T18" s="13"/>
      <c r="U18" s="13"/>
      <c r="V18" s="13" t="s">
        <v>40</v>
      </c>
      <c r="W18" s="13"/>
      <c r="X18" s="13"/>
      <c r="Y18" s="13"/>
      <c r="Z18" s="13" t="s">
        <v>188</v>
      </c>
      <c r="AA18" s="13" t="s">
        <v>40</v>
      </c>
      <c r="AB18" s="15" t="n">
        <v>46104</v>
      </c>
    </row>
    <row r="19" customFormat="false" ht="39.75" hidden="false" customHeight="true" outlineLevel="0" collapsed="false">
      <c r="A19" s="5" t="s">
        <v>189</v>
      </c>
      <c r="B19" s="6" t="s">
        <v>190</v>
      </c>
      <c r="C19" s="6" t="s">
        <v>30</v>
      </c>
      <c r="D19" s="6" t="s">
        <v>31</v>
      </c>
      <c r="E19" s="7" t="n">
        <v>46086</v>
      </c>
      <c r="F19" s="7" t="n">
        <v>46101</v>
      </c>
      <c r="G19" s="6" t="n">
        <v>15</v>
      </c>
      <c r="H19" s="6" t="s">
        <v>64</v>
      </c>
      <c r="I19" s="6"/>
      <c r="J19" s="6" t="n">
        <v>1</v>
      </c>
      <c r="K19" s="6" t="s">
        <v>190</v>
      </c>
      <c r="L19" s="10" t="s">
        <v>34</v>
      </c>
      <c r="M19" s="10" t="s">
        <v>35</v>
      </c>
      <c r="N19" s="10" t="s">
        <v>102</v>
      </c>
      <c r="O19" s="11" t="s">
        <v>191</v>
      </c>
      <c r="P19" s="12" t="s">
        <v>192</v>
      </c>
      <c r="Q19" s="13" t="s">
        <v>102</v>
      </c>
      <c r="R19" s="13" t="s">
        <v>40</v>
      </c>
      <c r="S19" s="12" t="s">
        <v>193</v>
      </c>
      <c r="T19" s="13" t="s">
        <v>194</v>
      </c>
      <c r="U19" s="13" t="s">
        <v>195</v>
      </c>
      <c r="V19" s="13" t="s">
        <v>40</v>
      </c>
      <c r="W19" s="13"/>
      <c r="X19" s="13"/>
      <c r="Y19" s="13" t="s">
        <v>196</v>
      </c>
      <c r="Z19" s="13"/>
      <c r="AA19" s="13" t="s">
        <v>40</v>
      </c>
      <c r="AB19" s="15" t="n">
        <v>46104</v>
      </c>
    </row>
    <row r="20" customFormat="false" ht="39.75" hidden="false" customHeight="true" outlineLevel="0" collapsed="false">
      <c r="A20" s="5" t="s">
        <v>197</v>
      </c>
      <c r="B20" s="6" t="s">
        <v>198</v>
      </c>
      <c r="C20" s="6" t="s">
        <v>30</v>
      </c>
      <c r="D20" s="6" t="s">
        <v>31</v>
      </c>
      <c r="E20" s="7" t="n">
        <v>46094</v>
      </c>
      <c r="F20" s="7" t="n">
        <v>46104</v>
      </c>
      <c r="G20" s="6" t="n">
        <v>10</v>
      </c>
      <c r="H20" s="6" t="s">
        <v>32</v>
      </c>
      <c r="I20" s="6" t="s">
        <v>169</v>
      </c>
      <c r="J20" s="6" t="n">
        <v>1</v>
      </c>
      <c r="K20" s="6"/>
      <c r="L20" s="10" t="s">
        <v>34</v>
      </c>
      <c r="M20" s="10" t="s">
        <v>35</v>
      </c>
      <c r="N20" s="10" t="s">
        <v>131</v>
      </c>
      <c r="O20" s="11" t="s">
        <v>199</v>
      </c>
      <c r="P20" s="12" t="s">
        <v>200</v>
      </c>
      <c r="Q20" s="13" t="s">
        <v>39</v>
      </c>
      <c r="R20" s="13" t="s">
        <v>40</v>
      </c>
      <c r="S20" s="12" t="s">
        <v>201</v>
      </c>
      <c r="T20" s="13"/>
      <c r="U20" s="13"/>
      <c r="V20" s="13"/>
      <c r="W20" s="13" t="s">
        <v>44</v>
      </c>
      <c r="X20" s="13" t="s">
        <v>45</v>
      </c>
      <c r="Y20" s="13"/>
      <c r="Z20" s="13"/>
      <c r="AA20" s="13" t="s">
        <v>40</v>
      </c>
      <c r="AB20" s="15" t="n">
        <v>46104</v>
      </c>
    </row>
    <row r="21" customFormat="false" ht="39.75" hidden="false" customHeight="true" outlineLevel="0" collapsed="false">
      <c r="A21" s="5" t="s">
        <v>202</v>
      </c>
      <c r="B21" s="6" t="s">
        <v>203</v>
      </c>
      <c r="C21" s="6" t="s">
        <v>30</v>
      </c>
      <c r="D21" s="6" t="s">
        <v>49</v>
      </c>
      <c r="E21" s="7" t="n">
        <v>46093</v>
      </c>
      <c r="F21" s="7" t="n">
        <v>46098</v>
      </c>
      <c r="G21" s="6" t="n">
        <v>5</v>
      </c>
      <c r="H21" s="6" t="s">
        <v>168</v>
      </c>
      <c r="I21" s="6" t="s">
        <v>65</v>
      </c>
      <c r="J21" s="9" t="n">
        <v>27</v>
      </c>
      <c r="K21" s="6" t="s">
        <v>203</v>
      </c>
      <c r="L21" s="10" t="s">
        <v>34</v>
      </c>
      <c r="M21" s="10" t="s">
        <v>35</v>
      </c>
      <c r="N21" s="10" t="s">
        <v>131</v>
      </c>
      <c r="O21" s="11" t="s">
        <v>204</v>
      </c>
      <c r="P21" s="12" t="s">
        <v>205</v>
      </c>
      <c r="Q21" s="13" t="s">
        <v>39</v>
      </c>
      <c r="R21" s="13" t="s">
        <v>68</v>
      </c>
      <c r="S21" s="12"/>
      <c r="T21" s="13" t="s">
        <v>42</v>
      </c>
      <c r="U21" s="13" t="s">
        <v>206</v>
      </c>
      <c r="V21" s="13" t="s">
        <v>40</v>
      </c>
      <c r="W21" s="13" t="s">
        <v>44</v>
      </c>
      <c r="X21" s="13" t="s">
        <v>45</v>
      </c>
      <c r="Y21" s="13" t="s">
        <v>207</v>
      </c>
      <c r="Z21" s="13" t="s">
        <v>208</v>
      </c>
      <c r="AA21" s="13" t="s">
        <v>40</v>
      </c>
      <c r="AB21" s="15" t="n">
        <v>46098</v>
      </c>
    </row>
    <row r="22" customFormat="false" ht="39.75" hidden="false" customHeight="true" outlineLevel="0" collapsed="false">
      <c r="A22" s="5" t="s">
        <v>209</v>
      </c>
      <c r="B22" s="6" t="s">
        <v>210</v>
      </c>
      <c r="C22" s="6" t="s">
        <v>30</v>
      </c>
      <c r="D22" s="6" t="s">
        <v>49</v>
      </c>
      <c r="E22" s="7" t="n">
        <v>46081</v>
      </c>
      <c r="F22" s="7" t="n">
        <v>46098</v>
      </c>
      <c r="G22" s="6" t="n">
        <v>17</v>
      </c>
      <c r="H22" s="6" t="s">
        <v>64</v>
      </c>
      <c r="I22" s="6" t="s">
        <v>169</v>
      </c>
      <c r="J22" s="9" t="n">
        <v>9</v>
      </c>
      <c r="K22" s="6" t="s">
        <v>210</v>
      </c>
      <c r="L22" s="10" t="s">
        <v>34</v>
      </c>
      <c r="M22" s="10" t="s">
        <v>35</v>
      </c>
      <c r="N22" s="10" t="s">
        <v>102</v>
      </c>
      <c r="O22" s="11" t="s">
        <v>211</v>
      </c>
      <c r="P22" s="12" t="s">
        <v>212</v>
      </c>
      <c r="Q22" s="13" t="s">
        <v>102</v>
      </c>
      <c r="R22" s="13" t="s">
        <v>40</v>
      </c>
      <c r="S22" s="12" t="s">
        <v>213</v>
      </c>
      <c r="T22" s="13" t="s">
        <v>194</v>
      </c>
      <c r="U22" s="13" t="s">
        <v>213</v>
      </c>
      <c r="V22" s="13" t="s">
        <v>68</v>
      </c>
      <c r="W22" s="13" t="s">
        <v>44</v>
      </c>
      <c r="X22" s="13" t="s">
        <v>45</v>
      </c>
      <c r="Y22" s="13" t="s">
        <v>196</v>
      </c>
      <c r="Z22" s="13" t="s">
        <v>214</v>
      </c>
      <c r="AA22" s="13" t="s">
        <v>40</v>
      </c>
      <c r="AB22" s="15" t="n">
        <v>46098</v>
      </c>
    </row>
    <row r="23" customFormat="false" ht="39.75" hidden="false" customHeight="true" outlineLevel="0" collapsed="false">
      <c r="A23" s="5" t="s">
        <v>215</v>
      </c>
      <c r="B23" s="6" t="s">
        <v>216</v>
      </c>
      <c r="C23" s="6" t="s">
        <v>30</v>
      </c>
      <c r="D23" s="6" t="s">
        <v>130</v>
      </c>
      <c r="E23" s="7" t="n">
        <v>46063</v>
      </c>
      <c r="F23" s="7" t="n">
        <v>46098</v>
      </c>
      <c r="G23" s="6" t="n">
        <v>35</v>
      </c>
      <c r="H23" s="6" t="s">
        <v>217</v>
      </c>
      <c r="I23" s="6" t="s">
        <v>169</v>
      </c>
      <c r="J23" s="9" t="n">
        <v>7</v>
      </c>
      <c r="K23" s="6" t="s">
        <v>216</v>
      </c>
      <c r="L23" s="10" t="s">
        <v>34</v>
      </c>
      <c r="M23" s="10" t="s">
        <v>218</v>
      </c>
      <c r="N23" s="10" t="s">
        <v>131</v>
      </c>
      <c r="O23" s="11" t="s">
        <v>219</v>
      </c>
      <c r="P23" s="12" t="s">
        <v>220</v>
      </c>
      <c r="Q23" s="13" t="s">
        <v>39</v>
      </c>
      <c r="R23" s="13" t="s">
        <v>40</v>
      </c>
      <c r="S23" s="12" t="s">
        <v>221</v>
      </c>
      <c r="T23" s="13" t="s">
        <v>42</v>
      </c>
      <c r="U23" s="13" t="s">
        <v>222</v>
      </c>
      <c r="V23" s="13" t="s">
        <v>40</v>
      </c>
      <c r="W23" s="13" t="s">
        <v>44</v>
      </c>
      <c r="X23" s="13" t="s">
        <v>223</v>
      </c>
      <c r="Y23" s="13"/>
      <c r="Z23" s="13" t="s">
        <v>224</v>
      </c>
      <c r="AA23" s="13" t="s">
        <v>40</v>
      </c>
      <c r="AB23" s="15" t="n">
        <v>46098</v>
      </c>
    </row>
    <row r="24" customFormat="false" ht="39.75" hidden="false" customHeight="true" outlineLevel="0" collapsed="false">
      <c r="A24" s="5" t="s">
        <v>225</v>
      </c>
      <c r="B24" s="6" t="s">
        <v>226</v>
      </c>
      <c r="C24" s="6" t="s">
        <v>30</v>
      </c>
      <c r="D24" s="6" t="s">
        <v>31</v>
      </c>
      <c r="E24" s="7" t="n">
        <v>46083</v>
      </c>
      <c r="F24" s="7" t="n">
        <v>46098</v>
      </c>
      <c r="G24" s="6" t="n">
        <v>15</v>
      </c>
      <c r="H24" s="6" t="s">
        <v>217</v>
      </c>
      <c r="I24" s="6" t="s">
        <v>169</v>
      </c>
      <c r="J24" s="6" t="n">
        <v>2</v>
      </c>
      <c r="K24" s="6" t="s">
        <v>226</v>
      </c>
      <c r="L24" s="10" t="s">
        <v>34</v>
      </c>
      <c r="M24" s="10" t="s">
        <v>35</v>
      </c>
      <c r="N24" s="10" t="s">
        <v>131</v>
      </c>
      <c r="O24" s="11" t="s">
        <v>227</v>
      </c>
      <c r="P24" s="12"/>
      <c r="Q24" s="13" t="s">
        <v>39</v>
      </c>
      <c r="R24" s="13" t="s">
        <v>68</v>
      </c>
      <c r="S24" s="12"/>
      <c r="T24" s="13" t="s">
        <v>42</v>
      </c>
      <c r="U24" s="13" t="s">
        <v>228</v>
      </c>
      <c r="V24" s="13" t="s">
        <v>40</v>
      </c>
      <c r="W24" s="13" t="s">
        <v>44</v>
      </c>
      <c r="X24" s="13" t="s">
        <v>45</v>
      </c>
      <c r="Y24" s="13"/>
      <c r="Z24" s="13" t="s">
        <v>229</v>
      </c>
      <c r="AA24" s="13" t="s">
        <v>40</v>
      </c>
      <c r="AB24" s="15" t="n">
        <v>46098</v>
      </c>
    </row>
    <row r="25" customFormat="false" ht="39.75" hidden="false" customHeight="true" outlineLevel="0" collapsed="false">
      <c r="A25" s="5" t="s">
        <v>230</v>
      </c>
      <c r="B25" s="6" t="s">
        <v>231</v>
      </c>
      <c r="C25" s="6" t="s">
        <v>30</v>
      </c>
      <c r="D25" s="6" t="s">
        <v>31</v>
      </c>
      <c r="E25" s="7" t="n">
        <v>46086</v>
      </c>
      <c r="F25" s="7" t="n">
        <v>46098</v>
      </c>
      <c r="G25" s="8" t="n">
        <f aca="false">IF(OR(E25="",F25=""),"",INT(F25-E25))</f>
        <v>12</v>
      </c>
      <c r="H25" s="6" t="s">
        <v>232</v>
      </c>
      <c r="I25" s="6" t="s">
        <v>169</v>
      </c>
      <c r="J25" s="6" t="n">
        <v>1</v>
      </c>
      <c r="K25" s="6" t="s">
        <v>231</v>
      </c>
      <c r="L25" s="10" t="s">
        <v>52</v>
      </c>
      <c r="M25" s="10" t="s">
        <v>124</v>
      </c>
      <c r="N25" s="10" t="s">
        <v>75</v>
      </c>
      <c r="O25" s="11" t="s">
        <v>233</v>
      </c>
      <c r="P25" s="12"/>
      <c r="Q25" s="13"/>
      <c r="R25" s="13" t="s">
        <v>40</v>
      </c>
      <c r="S25" s="12" t="s">
        <v>234</v>
      </c>
      <c r="T25" s="13"/>
      <c r="U25" s="13"/>
      <c r="V25" s="13"/>
      <c r="W25" s="13" t="s">
        <v>87</v>
      </c>
      <c r="X25" s="13" t="s">
        <v>88</v>
      </c>
      <c r="Y25" s="13"/>
      <c r="Z25" s="13"/>
      <c r="AA25" s="14"/>
      <c r="AB25" s="15" t="n">
        <v>46098</v>
      </c>
    </row>
    <row r="26" customFormat="false" ht="39.75" hidden="false" customHeight="true" outlineLevel="0" collapsed="false">
      <c r="A26" s="5" t="s">
        <v>235</v>
      </c>
      <c r="B26" s="6" t="s">
        <v>236</v>
      </c>
      <c r="C26" s="6" t="s">
        <v>30</v>
      </c>
      <c r="D26" s="6" t="s">
        <v>31</v>
      </c>
      <c r="E26" s="7" t="n">
        <v>46092</v>
      </c>
      <c r="F26" s="7" t="n">
        <v>46098</v>
      </c>
      <c r="G26" s="6" t="n">
        <v>6</v>
      </c>
      <c r="H26" s="6" t="s">
        <v>168</v>
      </c>
      <c r="I26" s="6" t="s">
        <v>169</v>
      </c>
      <c r="J26" s="6" t="n">
        <v>1</v>
      </c>
      <c r="K26" s="6" t="s">
        <v>236</v>
      </c>
      <c r="L26" s="10" t="s">
        <v>34</v>
      </c>
      <c r="M26" s="10" t="s">
        <v>35</v>
      </c>
      <c r="N26" s="10" t="s">
        <v>131</v>
      </c>
      <c r="O26" s="11" t="s">
        <v>237</v>
      </c>
      <c r="P26" s="12" t="s">
        <v>238</v>
      </c>
      <c r="Q26" s="13" t="s">
        <v>39</v>
      </c>
      <c r="R26" s="13" t="s">
        <v>68</v>
      </c>
      <c r="S26" s="12"/>
      <c r="T26" s="13" t="s">
        <v>42</v>
      </c>
      <c r="U26" s="13" t="s">
        <v>239</v>
      </c>
      <c r="V26" s="13" t="s">
        <v>40</v>
      </c>
      <c r="W26" s="13" t="s">
        <v>44</v>
      </c>
      <c r="X26" s="13" t="s">
        <v>45</v>
      </c>
      <c r="Y26" s="13" t="s">
        <v>240</v>
      </c>
      <c r="Z26" s="13" t="s">
        <v>241</v>
      </c>
      <c r="AA26" s="13" t="s">
        <v>40</v>
      </c>
      <c r="AB26" s="15" t="n">
        <v>46098</v>
      </c>
    </row>
    <row r="27" customFormat="false" ht="39.75" hidden="false" customHeight="true" outlineLevel="0" collapsed="false">
      <c r="A27" s="5" t="s">
        <v>242</v>
      </c>
      <c r="B27" s="6" t="s">
        <v>243</v>
      </c>
      <c r="C27" s="6" t="s">
        <v>30</v>
      </c>
      <c r="D27" s="6" t="s">
        <v>31</v>
      </c>
      <c r="E27" s="7" t="n">
        <v>46087</v>
      </c>
      <c r="F27" s="7" t="n">
        <v>46098</v>
      </c>
      <c r="G27" s="6" t="n">
        <v>11</v>
      </c>
      <c r="H27" s="6" t="s">
        <v>217</v>
      </c>
      <c r="I27" s="6"/>
      <c r="J27" s="6" t="n">
        <v>1</v>
      </c>
      <c r="K27" s="6" t="s">
        <v>243</v>
      </c>
      <c r="L27" s="10" t="s">
        <v>34</v>
      </c>
      <c r="M27" s="10" t="s">
        <v>244</v>
      </c>
      <c r="N27" s="10" t="s">
        <v>36</v>
      </c>
      <c r="O27" s="11" t="s">
        <v>245</v>
      </c>
      <c r="P27" s="12" t="s">
        <v>246</v>
      </c>
      <c r="Q27" s="13" t="s">
        <v>75</v>
      </c>
      <c r="R27" s="13" t="s">
        <v>68</v>
      </c>
      <c r="S27" s="12"/>
      <c r="T27" s="13" t="s">
        <v>42</v>
      </c>
      <c r="U27" s="13"/>
      <c r="V27" s="13"/>
      <c r="W27" s="13" t="s">
        <v>44</v>
      </c>
      <c r="X27" s="13" t="s">
        <v>45</v>
      </c>
      <c r="Y27" s="13" t="s">
        <v>247</v>
      </c>
      <c r="Z27" s="13" t="s">
        <v>248</v>
      </c>
      <c r="AA27" s="13" t="s">
        <v>40</v>
      </c>
      <c r="AB27" s="15" t="n">
        <v>46098</v>
      </c>
    </row>
    <row r="28" customFormat="false" ht="39.75" hidden="false" customHeight="true" outlineLevel="0" collapsed="false">
      <c r="A28" s="5" t="s">
        <v>249</v>
      </c>
      <c r="B28" s="6" t="s">
        <v>250</v>
      </c>
      <c r="C28" s="6" t="s">
        <v>30</v>
      </c>
      <c r="D28" s="6" t="s">
        <v>31</v>
      </c>
      <c r="E28" s="7" t="n">
        <v>46086</v>
      </c>
      <c r="F28" s="7" t="n">
        <v>46098</v>
      </c>
      <c r="G28" s="6" t="n">
        <v>12</v>
      </c>
      <c r="H28" s="6" t="s">
        <v>168</v>
      </c>
      <c r="I28" s="6" t="s">
        <v>169</v>
      </c>
      <c r="J28" s="6" t="n">
        <v>1</v>
      </c>
      <c r="K28" s="6" t="s">
        <v>250</v>
      </c>
      <c r="L28" s="10" t="s">
        <v>34</v>
      </c>
      <c r="M28" s="10" t="s">
        <v>35</v>
      </c>
      <c r="N28" s="10" t="s">
        <v>131</v>
      </c>
      <c r="O28" s="11" t="s">
        <v>251</v>
      </c>
      <c r="P28" s="12" t="s">
        <v>252</v>
      </c>
      <c r="Q28" s="13" t="s">
        <v>39</v>
      </c>
      <c r="R28" s="13" t="s">
        <v>68</v>
      </c>
      <c r="S28" s="12"/>
      <c r="T28" s="13" t="s">
        <v>42</v>
      </c>
      <c r="U28" s="13" t="s">
        <v>253</v>
      </c>
      <c r="V28" s="13" t="s">
        <v>40</v>
      </c>
      <c r="W28" s="13" t="s">
        <v>44</v>
      </c>
      <c r="X28" s="13" t="s">
        <v>45</v>
      </c>
      <c r="Y28" s="13" t="s">
        <v>254</v>
      </c>
      <c r="Z28" s="13" t="s">
        <v>255</v>
      </c>
      <c r="AA28" s="13" t="s">
        <v>40</v>
      </c>
      <c r="AB28" s="15" t="n">
        <v>46098</v>
      </c>
    </row>
    <row r="29" customFormat="false" ht="39.75" hidden="false" customHeight="true" outlineLevel="0" collapsed="false">
      <c r="A29" s="5" t="s">
        <v>256</v>
      </c>
      <c r="B29" s="6" t="s">
        <v>257</v>
      </c>
      <c r="C29" s="6" t="s">
        <v>30</v>
      </c>
      <c r="D29" s="6" t="s">
        <v>31</v>
      </c>
      <c r="E29" s="7" t="n">
        <v>46094</v>
      </c>
      <c r="F29" s="7" t="n">
        <v>46097</v>
      </c>
      <c r="G29" s="8" t="n">
        <f aca="false">IF(OR(E29="",F29=""),"",INT(F29-E29))</f>
        <v>3</v>
      </c>
      <c r="H29" s="6" t="s">
        <v>100</v>
      </c>
      <c r="I29" s="6"/>
      <c r="J29" s="6" t="n">
        <v>1</v>
      </c>
      <c r="K29" s="6" t="s">
        <v>257</v>
      </c>
      <c r="L29" s="10" t="s">
        <v>52</v>
      </c>
      <c r="M29" s="10" t="s">
        <v>53</v>
      </c>
      <c r="N29" s="10" t="s">
        <v>75</v>
      </c>
      <c r="O29" s="11" t="s">
        <v>258</v>
      </c>
      <c r="P29" s="12"/>
      <c r="Q29" s="13"/>
      <c r="R29" s="13" t="s">
        <v>40</v>
      </c>
      <c r="S29" s="12" t="s">
        <v>259</v>
      </c>
      <c r="T29" s="13"/>
      <c r="U29" s="13"/>
      <c r="V29" s="13"/>
      <c r="W29" s="13" t="s">
        <v>58</v>
      </c>
      <c r="X29" s="13" t="s">
        <v>59</v>
      </c>
      <c r="Y29" s="13"/>
      <c r="Z29" s="13"/>
      <c r="AA29" s="14"/>
      <c r="AB29" s="15" t="n">
        <v>46097</v>
      </c>
    </row>
    <row r="30" customFormat="false" ht="39.75" hidden="false" customHeight="true" outlineLevel="0" collapsed="false">
      <c r="A30" s="5" t="s">
        <v>260</v>
      </c>
      <c r="B30" s="6" t="s">
        <v>261</v>
      </c>
      <c r="C30" s="6" t="s">
        <v>30</v>
      </c>
      <c r="D30" s="6" t="s">
        <v>31</v>
      </c>
      <c r="E30" s="7" t="n">
        <v>46084</v>
      </c>
      <c r="F30" s="7" t="n">
        <v>46092</v>
      </c>
      <c r="G30" s="6" t="n">
        <v>8</v>
      </c>
      <c r="H30" s="6" t="s">
        <v>32</v>
      </c>
      <c r="I30" s="6" t="s">
        <v>33</v>
      </c>
      <c r="J30" s="9" t="n">
        <v>9</v>
      </c>
      <c r="K30" s="6" t="s">
        <v>261</v>
      </c>
      <c r="L30" s="10" t="s">
        <v>34</v>
      </c>
      <c r="M30" s="10" t="s">
        <v>35</v>
      </c>
      <c r="N30" s="10" t="s">
        <v>131</v>
      </c>
      <c r="O30" s="11" t="s">
        <v>262</v>
      </c>
      <c r="P30" s="12" t="s">
        <v>263</v>
      </c>
      <c r="Q30" s="13" t="s">
        <v>39</v>
      </c>
      <c r="R30" s="13" t="s">
        <v>40</v>
      </c>
      <c r="S30" s="12" t="s">
        <v>264</v>
      </c>
      <c r="T30" s="13" t="s">
        <v>42</v>
      </c>
      <c r="U30" s="13" t="s">
        <v>265</v>
      </c>
      <c r="V30" s="13" t="s">
        <v>40</v>
      </c>
      <c r="W30" s="13" t="s">
        <v>44</v>
      </c>
      <c r="X30" s="13" t="s">
        <v>45</v>
      </c>
      <c r="Y30" s="13" t="s">
        <v>266</v>
      </c>
      <c r="Z30" s="13" t="s">
        <v>267</v>
      </c>
      <c r="AA30" s="13" t="s">
        <v>40</v>
      </c>
      <c r="AB30" s="15" t="n">
        <v>46095</v>
      </c>
    </row>
    <row r="31" customFormat="false" ht="39.75" hidden="false" customHeight="true" outlineLevel="0" collapsed="false">
      <c r="A31" s="5" t="s">
        <v>268</v>
      </c>
      <c r="B31" s="6" t="s">
        <v>269</v>
      </c>
      <c r="C31" s="6" t="s">
        <v>30</v>
      </c>
      <c r="D31" s="6" t="s">
        <v>31</v>
      </c>
      <c r="E31" s="7" t="n">
        <v>46074</v>
      </c>
      <c r="F31" s="7" t="n">
        <v>46094</v>
      </c>
      <c r="G31" s="6" t="n">
        <v>20</v>
      </c>
      <c r="H31" s="6" t="s">
        <v>32</v>
      </c>
      <c r="I31" s="6"/>
      <c r="J31" s="18" t="n">
        <v>4</v>
      </c>
      <c r="K31" s="6" t="s">
        <v>269</v>
      </c>
      <c r="L31" s="10" t="s">
        <v>34</v>
      </c>
      <c r="M31" s="10" t="s">
        <v>35</v>
      </c>
      <c r="N31" s="10" t="s">
        <v>270</v>
      </c>
      <c r="O31" s="11" t="s">
        <v>271</v>
      </c>
      <c r="P31" s="12" t="s">
        <v>272</v>
      </c>
      <c r="Q31" s="13" t="s">
        <v>102</v>
      </c>
      <c r="R31" s="13" t="s">
        <v>68</v>
      </c>
      <c r="S31" s="12"/>
      <c r="T31" s="13"/>
      <c r="U31" s="13" t="s">
        <v>273</v>
      </c>
      <c r="V31" s="13" t="s">
        <v>68</v>
      </c>
      <c r="W31" s="13" t="s">
        <v>44</v>
      </c>
      <c r="X31" s="13" t="s">
        <v>45</v>
      </c>
      <c r="Y31" s="13"/>
      <c r="Z31" s="13"/>
      <c r="AA31" s="13" t="s">
        <v>40</v>
      </c>
      <c r="AB31" s="15" t="n">
        <v>46095</v>
      </c>
    </row>
    <row r="32" customFormat="false" ht="39.75" hidden="false" customHeight="true" outlineLevel="0" collapsed="false">
      <c r="A32" s="5" t="s">
        <v>274</v>
      </c>
      <c r="B32" s="6" t="s">
        <v>275</v>
      </c>
      <c r="C32" s="6" t="s">
        <v>30</v>
      </c>
      <c r="D32" s="6" t="s">
        <v>31</v>
      </c>
      <c r="E32" s="7" t="n">
        <v>46078</v>
      </c>
      <c r="F32" s="7" t="n">
        <v>46092</v>
      </c>
      <c r="G32" s="8" t="n">
        <f aca="false">IF(OR(E32="",F32=""),"",INT(F32-E32))</f>
        <v>14</v>
      </c>
      <c r="H32" s="6" t="s">
        <v>81</v>
      </c>
      <c r="I32" s="6" t="s">
        <v>51</v>
      </c>
      <c r="J32" s="6" t="n">
        <v>1</v>
      </c>
      <c r="K32" s="6"/>
      <c r="L32" s="10" t="s">
        <v>139</v>
      </c>
      <c r="M32" s="10"/>
      <c r="N32" s="10" t="s">
        <v>131</v>
      </c>
      <c r="O32" s="11" t="s">
        <v>276</v>
      </c>
      <c r="P32" s="12"/>
      <c r="Q32" s="13"/>
      <c r="R32" s="13" t="s">
        <v>40</v>
      </c>
      <c r="S32" s="12" t="s">
        <v>277</v>
      </c>
      <c r="T32" s="13"/>
      <c r="U32" s="13"/>
      <c r="V32" s="13"/>
      <c r="W32" s="13"/>
      <c r="X32" s="13"/>
      <c r="Y32" s="13"/>
      <c r="Z32" s="13"/>
      <c r="AA32" s="14" t="s">
        <v>68</v>
      </c>
      <c r="AB32" s="15" t="n">
        <v>46095</v>
      </c>
    </row>
    <row r="33" customFormat="false" ht="39.75" hidden="false" customHeight="true" outlineLevel="0" collapsed="false">
      <c r="A33" s="5" t="s">
        <v>278</v>
      </c>
      <c r="B33" s="6" t="s">
        <v>279</v>
      </c>
      <c r="C33" s="6" t="s">
        <v>30</v>
      </c>
      <c r="D33" s="6" t="s">
        <v>31</v>
      </c>
      <c r="E33" s="7" t="n">
        <v>46093</v>
      </c>
      <c r="F33" s="7" t="n">
        <v>46093</v>
      </c>
      <c r="G33" s="8" t="n">
        <f aca="false">IF(OR(E33="",F33=""),"",INT(F33-E33))</f>
        <v>0</v>
      </c>
      <c r="H33" s="6" t="s">
        <v>92</v>
      </c>
      <c r="I33" s="6" t="s">
        <v>92</v>
      </c>
      <c r="J33" s="6" t="n">
        <v>1</v>
      </c>
      <c r="K33" s="6" t="s">
        <v>279</v>
      </c>
      <c r="L33" s="10" t="s">
        <v>52</v>
      </c>
      <c r="M33" s="10" t="s">
        <v>124</v>
      </c>
      <c r="N33" s="10" t="s">
        <v>75</v>
      </c>
      <c r="O33" s="11" t="s">
        <v>280</v>
      </c>
      <c r="P33" s="12"/>
      <c r="Q33" s="13"/>
      <c r="R33" s="13" t="s">
        <v>40</v>
      </c>
      <c r="S33" s="12" t="s">
        <v>281</v>
      </c>
      <c r="T33" s="13"/>
      <c r="U33" s="13"/>
      <c r="V33" s="13"/>
      <c r="W33" s="13" t="s">
        <v>87</v>
      </c>
      <c r="X33" s="13" t="s">
        <v>88</v>
      </c>
      <c r="Y33" s="13"/>
      <c r="Z33" s="13"/>
      <c r="AA33" s="14" t="s">
        <v>68</v>
      </c>
      <c r="AB33" s="15" t="n">
        <v>46095</v>
      </c>
    </row>
    <row r="34" customFormat="false" ht="39.75" hidden="false" customHeight="true" outlineLevel="0" collapsed="false">
      <c r="A34" s="5" t="s">
        <v>282</v>
      </c>
      <c r="B34" s="6" t="s">
        <v>283</v>
      </c>
      <c r="C34" s="6" t="s">
        <v>30</v>
      </c>
      <c r="D34" s="6" t="s">
        <v>31</v>
      </c>
      <c r="E34" s="7" t="n">
        <v>46092</v>
      </c>
      <c r="F34" s="7" t="n">
        <v>46092</v>
      </c>
      <c r="G34" s="8" t="n">
        <f aca="false">IF(OR(E34="",F34=""),"",INT(F34-E34))</f>
        <v>0</v>
      </c>
      <c r="H34" s="6" t="s">
        <v>150</v>
      </c>
      <c r="I34" s="6" t="s">
        <v>150</v>
      </c>
      <c r="J34" s="6" t="n">
        <v>1</v>
      </c>
      <c r="K34" s="6" t="s">
        <v>283</v>
      </c>
      <c r="L34" s="10" t="s">
        <v>117</v>
      </c>
      <c r="M34" s="10" t="s">
        <v>117</v>
      </c>
      <c r="N34" s="10" t="s">
        <v>75</v>
      </c>
      <c r="O34" s="11" t="s">
        <v>284</v>
      </c>
      <c r="P34" s="12"/>
      <c r="Q34" s="13"/>
      <c r="R34" s="13" t="s">
        <v>40</v>
      </c>
      <c r="S34" s="12" t="s">
        <v>285</v>
      </c>
      <c r="T34" s="13"/>
      <c r="U34" s="13"/>
      <c r="V34" s="13"/>
      <c r="W34" s="13"/>
      <c r="X34" s="13"/>
      <c r="Y34" s="13"/>
      <c r="Z34" s="13"/>
      <c r="AA34" s="14" t="s">
        <v>68</v>
      </c>
      <c r="AB34" s="15" t="n">
        <v>46095</v>
      </c>
    </row>
    <row r="35" customFormat="false" ht="39.75" hidden="false" customHeight="true" outlineLevel="0" collapsed="false">
      <c r="A35" s="5" t="s">
        <v>286</v>
      </c>
      <c r="B35" s="6" t="s">
        <v>287</v>
      </c>
      <c r="C35" s="6" t="s">
        <v>30</v>
      </c>
      <c r="D35" s="6" t="s">
        <v>31</v>
      </c>
      <c r="E35" s="7" t="n">
        <v>46091</v>
      </c>
      <c r="F35" s="7" t="n">
        <v>46092</v>
      </c>
      <c r="G35" s="8" t="n">
        <f aca="false">IF(OR(E35="",F35=""),"",INT(F35-E35))</f>
        <v>1</v>
      </c>
      <c r="H35" s="6" t="s">
        <v>50</v>
      </c>
      <c r="I35" s="6"/>
      <c r="J35" s="6" t="n">
        <v>1</v>
      </c>
      <c r="K35" s="6" t="s">
        <v>287</v>
      </c>
      <c r="L35" s="10" t="s">
        <v>52</v>
      </c>
      <c r="M35" s="10" t="s">
        <v>124</v>
      </c>
      <c r="N35" s="10" t="s">
        <v>131</v>
      </c>
      <c r="O35" s="11" t="s">
        <v>288</v>
      </c>
      <c r="P35" s="12"/>
      <c r="Q35" s="13"/>
      <c r="R35" s="13" t="s">
        <v>40</v>
      </c>
      <c r="S35" s="12" t="s">
        <v>289</v>
      </c>
      <c r="T35" s="13"/>
      <c r="U35" s="13"/>
      <c r="V35" s="13"/>
      <c r="W35" s="13" t="s">
        <v>87</v>
      </c>
      <c r="X35" s="13" t="s">
        <v>88</v>
      </c>
      <c r="Y35" s="13"/>
      <c r="Z35" s="13"/>
      <c r="AA35" s="14" t="s">
        <v>68</v>
      </c>
      <c r="AB35" s="15" t="n">
        <v>46095</v>
      </c>
    </row>
    <row r="36" customFormat="false" ht="39.75" hidden="false" customHeight="true" outlineLevel="0" collapsed="false">
      <c r="A36" s="5" t="s">
        <v>290</v>
      </c>
      <c r="B36" s="6" t="s">
        <v>291</v>
      </c>
      <c r="C36" s="6" t="s">
        <v>30</v>
      </c>
      <c r="D36" s="6" t="s">
        <v>31</v>
      </c>
      <c r="E36" s="7" t="n">
        <v>46085</v>
      </c>
      <c r="F36" s="7" t="n">
        <v>46094</v>
      </c>
      <c r="G36" s="8" t="n">
        <f aca="false">IF(OR(E36="",F36=""),"",INT(F36-E36))</f>
        <v>9</v>
      </c>
      <c r="H36" s="6" t="s">
        <v>92</v>
      </c>
      <c r="I36" s="6" t="s">
        <v>92</v>
      </c>
      <c r="J36" s="6" t="n">
        <v>0</v>
      </c>
      <c r="K36" s="6" t="s">
        <v>292</v>
      </c>
      <c r="L36" s="10" t="s">
        <v>117</v>
      </c>
      <c r="M36" s="10" t="s">
        <v>117</v>
      </c>
      <c r="N36" s="10" t="s">
        <v>118</v>
      </c>
      <c r="O36" s="11" t="s">
        <v>293</v>
      </c>
      <c r="P36" s="12"/>
      <c r="Q36" s="13"/>
      <c r="R36" s="13" t="s">
        <v>40</v>
      </c>
      <c r="S36" s="12" t="s">
        <v>294</v>
      </c>
      <c r="T36" s="13"/>
      <c r="U36" s="13"/>
      <c r="V36" s="13"/>
      <c r="W36" s="13"/>
      <c r="X36" s="13"/>
      <c r="Y36" s="13"/>
      <c r="Z36" s="13"/>
      <c r="AA36" s="14" t="s">
        <v>68</v>
      </c>
      <c r="AB36" s="15" t="n">
        <v>46095</v>
      </c>
    </row>
    <row r="37" customFormat="false" ht="39.75" hidden="false" customHeight="true" outlineLevel="0" collapsed="false">
      <c r="A37" s="5" t="s">
        <v>295</v>
      </c>
      <c r="B37" s="6" t="s">
        <v>296</v>
      </c>
      <c r="C37" s="6" t="s">
        <v>30</v>
      </c>
      <c r="D37" s="6" t="s">
        <v>31</v>
      </c>
      <c r="E37" s="7" t="n">
        <v>46091</v>
      </c>
      <c r="F37" s="7" t="n">
        <v>46093</v>
      </c>
      <c r="G37" s="8" t="n">
        <f aca="false">IF(OR(E37="",F37=""),"",INT(F37-E37))</f>
        <v>2</v>
      </c>
      <c r="H37" s="6" t="s">
        <v>81</v>
      </c>
      <c r="I37" s="6" t="s">
        <v>81</v>
      </c>
      <c r="J37" s="6" t="n">
        <v>0</v>
      </c>
      <c r="K37" s="6"/>
      <c r="L37" s="10" t="s">
        <v>139</v>
      </c>
      <c r="M37" s="10"/>
      <c r="N37" s="10" t="s">
        <v>75</v>
      </c>
      <c r="O37" s="11" t="s">
        <v>297</v>
      </c>
      <c r="P37" s="12"/>
      <c r="Q37" s="13"/>
      <c r="R37" s="13" t="s">
        <v>40</v>
      </c>
      <c r="S37" s="12" t="s">
        <v>298</v>
      </c>
      <c r="T37" s="13"/>
      <c r="U37" s="13"/>
      <c r="V37" s="13"/>
      <c r="W37" s="13"/>
      <c r="X37" s="13"/>
      <c r="Y37" s="13"/>
      <c r="Z37" s="13"/>
      <c r="AA37" s="14" t="s">
        <v>68</v>
      </c>
      <c r="AB37" s="15" t="n">
        <v>46095</v>
      </c>
    </row>
  </sheetData>
  <dataValidations count="3">
    <dataValidation allowBlank="true" errorStyle="stop" operator="between" showDropDown="false" showErrorMessage="false" showInputMessage="false" sqref="Q2:Q87" type="list">
      <formula1>"Código,Banco de Dados,Infraestrutura,Terceiros"</formula1>
      <formula2>0</formula2>
    </dataValidation>
    <dataValidation allowBlank="true" errorStyle="stop" operator="between" showDropDown="false" showErrorMessage="false" showInputMessage="false" sqref="R2:R87 V2:V87 AA2:AA87" type="list">
      <formula1>"Sim,Não"</formula1>
      <formula2>0</formula2>
    </dataValidation>
    <dataValidation allowBlank="true" errorStyle="stop" operator="between" showDropDown="false" showErrorMessage="false" showInputMessage="false" sqref="T2:T87" type="list">
      <formula1>"Detectou problema,Não detectou,Não se Aplica"</formula1>
      <formula2>0</formula2>
    </dataValidation>
  </dataValidations>
  <hyperlinks>
    <hyperlink ref="A2" r:id="rId1" display="MODAJOI-100985"/>
    <hyperlink ref="A3" r:id="rId2" display="MODAJOI-101207"/>
    <hyperlink ref="A4" r:id="rId3" display="MODAJOI-100887"/>
    <hyperlink ref="A5" r:id="rId4" display="MODAJOI-101185"/>
    <hyperlink ref="A6" r:id="rId5" display="MODAJOI-101011"/>
    <hyperlink ref="A7" r:id="rId6" display="MODAJOI-101378"/>
    <hyperlink ref="A8" r:id="rId7" display="MODAJOI-100894"/>
    <hyperlink ref="A9" r:id="rId8" display="MODAJOI-101199"/>
    <hyperlink ref="A10" r:id="rId9" display="MODAJOI-100808"/>
    <hyperlink ref="Z10" r:id="rId10" display="Já existe whishlist para esse caso (https://jira.linx.com.br/browse/MODAJOI-100833)"/>
    <hyperlink ref="A11" r:id="rId11" display="MODAJOI-101292"/>
    <hyperlink ref="A12" r:id="rId12" display="MODAJOI-100934"/>
    <hyperlink ref="A13" r:id="rId13" display="MODAJOI-100979"/>
    <hyperlink ref="A14" r:id="rId14" display="MODAJOI-101067"/>
    <hyperlink ref="A15" r:id="rId15" display="MODAJOI-100733"/>
    <hyperlink ref="A16" r:id="rId16" display="MODAJOI-100388"/>
    <hyperlink ref="A17" r:id="rId17" display="MODAJOI-101005"/>
    <hyperlink ref="A18" r:id="rId18" display="MODAJOI-100867"/>
    <hyperlink ref="A19" r:id="rId19" display="MODAJOI-100396"/>
    <hyperlink ref="A20" r:id="rId20" display="MODAJOI-100761"/>
    <hyperlink ref="A21" r:id="rId21" display="MODAJOI-100652"/>
    <hyperlink ref="A22" r:id="rId22" display="MODAJOI-100187"/>
    <hyperlink ref="A23" r:id="rId23" display="MODAJOI-99532"/>
    <hyperlink ref="A24" r:id="rId24" display="MODAJOI-100251"/>
    <hyperlink ref="A25" r:id="rId25" display="MODAJOI-100393"/>
    <hyperlink ref="A26" r:id="rId26" display="MODAJOI-100578"/>
    <hyperlink ref="A27" r:id="rId27" display="MODAJOI-100461"/>
    <hyperlink ref="A28" r:id="rId28" display="MODAJOI-10041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10" activeCellId="0" sqref="G10"/>
    </sheetView>
  </sheetViews>
  <sheetFormatPr defaultColWidth="8.5703125" defaultRowHeight="15" customHeight="false"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4" min="3" style="0" width="22"/>
    <col collapsed="false" customWidth="true" hidden="false" outlineLevel="0" max="5" min="5" style="0" width="45"/>
    <col collapsed="false" customWidth="true" hidden="false" outlineLevel="0" max="6" min="6" style="0" width="18"/>
    <col collapsed="false" customWidth="true" hidden="false" outlineLevel="0" max="8" min="7" style="0" width="14"/>
    <col collapsed="false" customWidth="true" hidden="false" outlineLevel="0" max="9" min="9" style="0" width="40"/>
  </cols>
  <sheetData>
    <row r="1" customFormat="false" ht="31.5" hidden="false" customHeight="true" outlineLevel="0" collapsed="false">
      <c r="A1" s="20" t="s">
        <v>299</v>
      </c>
      <c r="B1" s="20" t="s">
        <v>300</v>
      </c>
      <c r="C1" s="20" t="s">
        <v>301</v>
      </c>
      <c r="D1" s="20" t="s">
        <v>12</v>
      </c>
      <c r="E1" s="20" t="s">
        <v>302</v>
      </c>
      <c r="F1" s="20" t="s">
        <v>303</v>
      </c>
      <c r="G1" s="20" t="s">
        <v>304</v>
      </c>
      <c r="H1" s="20" t="s">
        <v>305</v>
      </c>
      <c r="I1" s="20" t="s">
        <v>306</v>
      </c>
    </row>
    <row r="2" customFormat="false" ht="19.5" hidden="false" customHeight="true" outlineLevel="0" collapsed="false">
      <c r="A2" s="21" t="s">
        <v>307</v>
      </c>
      <c r="B2" s="22" t="s">
        <v>128</v>
      </c>
      <c r="C2" s="23" t="s">
        <v>308</v>
      </c>
      <c r="D2" s="23" t="s">
        <v>309</v>
      </c>
      <c r="E2" s="23" t="s">
        <v>310</v>
      </c>
      <c r="F2" s="24" t="s">
        <v>311</v>
      </c>
      <c r="G2" s="23"/>
      <c r="H2" s="23"/>
      <c r="I2" s="25"/>
    </row>
    <row r="3" customFormat="false" ht="19.5" hidden="false" customHeight="true" outlineLevel="0" collapsed="false">
      <c r="A3" s="21" t="s">
        <v>312</v>
      </c>
      <c r="B3" s="22" t="s">
        <v>136</v>
      </c>
      <c r="C3" s="23" t="s">
        <v>313</v>
      </c>
      <c r="D3" s="23" t="s">
        <v>314</v>
      </c>
      <c r="E3" s="23" t="s">
        <v>315</v>
      </c>
      <c r="F3" s="24" t="s">
        <v>311</v>
      </c>
      <c r="G3" s="23"/>
      <c r="H3" s="23"/>
      <c r="I3" s="25"/>
    </row>
    <row r="4" customFormat="false" ht="19.5" hidden="false" customHeight="true" outlineLevel="0" collapsed="false">
      <c r="A4" s="21" t="s">
        <v>196</v>
      </c>
      <c r="B4" s="22" t="s">
        <v>189</v>
      </c>
      <c r="C4" s="23" t="s">
        <v>316</v>
      </c>
      <c r="D4" s="23" t="s">
        <v>309</v>
      </c>
      <c r="E4" s="23" t="s">
        <v>317</v>
      </c>
      <c r="F4" s="26" t="s">
        <v>318</v>
      </c>
      <c r="G4" s="23"/>
      <c r="H4" s="23"/>
      <c r="I4" s="25" t="s">
        <v>319</v>
      </c>
    </row>
    <row r="5" customFormat="false" ht="19.5" hidden="false" customHeight="true" outlineLevel="0" collapsed="false">
      <c r="A5" s="21" t="s">
        <v>207</v>
      </c>
      <c r="B5" s="22" t="s">
        <v>202</v>
      </c>
      <c r="C5" s="23" t="s">
        <v>308</v>
      </c>
      <c r="D5" s="23" t="s">
        <v>309</v>
      </c>
      <c r="E5" s="23" t="s">
        <v>320</v>
      </c>
      <c r="F5" s="24" t="s">
        <v>311</v>
      </c>
      <c r="G5" s="23"/>
      <c r="H5" s="23"/>
      <c r="I5" s="25"/>
    </row>
    <row r="6" customFormat="false" ht="19.5" hidden="false" customHeight="true" outlineLevel="0" collapsed="false">
      <c r="A6" s="21" t="s">
        <v>196</v>
      </c>
      <c r="B6" s="22" t="s">
        <v>209</v>
      </c>
      <c r="C6" s="23" t="s">
        <v>316</v>
      </c>
      <c r="D6" s="23" t="s">
        <v>309</v>
      </c>
      <c r="E6" s="23" t="s">
        <v>317</v>
      </c>
      <c r="F6" s="26" t="s">
        <v>318</v>
      </c>
      <c r="G6" s="23"/>
      <c r="H6" s="23"/>
      <c r="I6" s="25" t="s">
        <v>319</v>
      </c>
    </row>
    <row r="7" customFormat="false" ht="19.5" hidden="false" customHeight="true" outlineLevel="0" collapsed="false">
      <c r="A7" s="21" t="s">
        <v>240</v>
      </c>
      <c r="B7" s="22" t="s">
        <v>235</v>
      </c>
      <c r="C7" s="23" t="s">
        <v>321</v>
      </c>
      <c r="D7" s="23" t="s">
        <v>34</v>
      </c>
      <c r="E7" s="23" t="s">
        <v>322</v>
      </c>
      <c r="F7" s="26" t="s">
        <v>318</v>
      </c>
      <c r="G7" s="23"/>
      <c r="H7" s="23"/>
      <c r="I7" s="25"/>
    </row>
    <row r="8" customFormat="false" ht="19.5" hidden="false" customHeight="true" outlineLevel="0" collapsed="false">
      <c r="A8" s="21" t="s">
        <v>247</v>
      </c>
      <c r="B8" s="22" t="s">
        <v>242</v>
      </c>
      <c r="C8" s="23" t="s">
        <v>316</v>
      </c>
      <c r="D8" s="23" t="s">
        <v>309</v>
      </c>
      <c r="E8" s="23" t="s">
        <v>323</v>
      </c>
      <c r="F8" s="27" t="s">
        <v>324</v>
      </c>
      <c r="G8" s="23"/>
      <c r="H8" s="28" t="n">
        <v>46105</v>
      </c>
      <c r="I8" s="25" t="s">
        <v>325</v>
      </c>
    </row>
    <row r="9" customFormat="false" ht="19.5" hidden="false" customHeight="true" outlineLevel="0" collapsed="false">
      <c r="A9" s="21" t="s">
        <v>254</v>
      </c>
      <c r="B9" s="22" t="s">
        <v>249</v>
      </c>
      <c r="C9" s="23" t="s">
        <v>321</v>
      </c>
      <c r="D9" s="23" t="s">
        <v>34</v>
      </c>
      <c r="E9" s="23" t="s">
        <v>326</v>
      </c>
      <c r="F9" s="26" t="s">
        <v>318</v>
      </c>
      <c r="G9" s="23"/>
      <c r="H9" s="23"/>
      <c r="I9" s="25"/>
    </row>
    <row r="10" customFormat="false" ht="19.5" hidden="false" customHeight="true" outlineLevel="0" collapsed="false">
      <c r="A10" s="21" t="s">
        <v>266</v>
      </c>
      <c r="B10" s="22" t="s">
        <v>260</v>
      </c>
      <c r="C10" s="23" t="s">
        <v>327</v>
      </c>
      <c r="D10" s="23" t="s">
        <v>309</v>
      </c>
      <c r="E10" s="23" t="s">
        <v>320</v>
      </c>
      <c r="F10" s="26" t="s">
        <v>318</v>
      </c>
      <c r="G10" s="23"/>
      <c r="H10" s="23"/>
      <c r="I10" s="25"/>
    </row>
    <row r="11" customFormat="false" ht="19.5" hidden="false" customHeight="true" outlineLevel="0" collapsed="false">
      <c r="A11" s="29" t="n">
        <v>310301</v>
      </c>
      <c r="B11" s="30" t="s">
        <v>28</v>
      </c>
      <c r="C11" s="29" t="s">
        <v>328</v>
      </c>
      <c r="D11" s="31" t="s">
        <v>52</v>
      </c>
      <c r="E11" s="29" t="s">
        <v>329</v>
      </c>
      <c r="F11" s="32" t="s">
        <v>311</v>
      </c>
      <c r="G11" s="29"/>
      <c r="H11" s="29"/>
      <c r="I11" s="29"/>
    </row>
    <row r="12" customFormat="false" ht="19.5" hidden="false" customHeight="true" outlineLevel="0" collapsed="false">
      <c r="A12" s="29" t="n">
        <v>310302</v>
      </c>
      <c r="B12" s="30" t="s">
        <v>47</v>
      </c>
      <c r="C12" s="29" t="s">
        <v>330</v>
      </c>
      <c r="D12" s="31" t="s">
        <v>52</v>
      </c>
      <c r="E12" s="29" t="s">
        <v>331</v>
      </c>
      <c r="F12" s="32" t="s">
        <v>311</v>
      </c>
      <c r="G12" s="29"/>
      <c r="H12" s="29"/>
      <c r="I12" s="29"/>
    </row>
    <row r="13" customFormat="false" ht="19.5" hidden="false" customHeight="true" outlineLevel="0" collapsed="false">
      <c r="A13" s="29" t="n">
        <v>310303</v>
      </c>
      <c r="B13" s="30" t="s">
        <v>47</v>
      </c>
      <c r="C13" s="29" t="s">
        <v>332</v>
      </c>
      <c r="D13" s="31" t="s">
        <v>52</v>
      </c>
      <c r="E13" s="29" t="s">
        <v>333</v>
      </c>
      <c r="F13" s="32" t="s">
        <v>311</v>
      </c>
      <c r="G13" s="29"/>
      <c r="H13" s="29"/>
      <c r="I13" s="29"/>
    </row>
    <row r="14" customFormat="false" ht="19.5" hidden="false" customHeight="true" outlineLevel="0" collapsed="false">
      <c r="A14" s="29" t="n">
        <v>310304</v>
      </c>
      <c r="B14" s="30" t="s">
        <v>62</v>
      </c>
      <c r="C14" s="29"/>
      <c r="D14" s="31" t="s">
        <v>309</v>
      </c>
      <c r="E14" s="29" t="s">
        <v>334</v>
      </c>
      <c r="F14" s="32" t="s">
        <v>311</v>
      </c>
      <c r="G14" s="29"/>
      <c r="H14" s="29"/>
      <c r="I14" s="29"/>
    </row>
    <row r="15" customFormat="false" ht="19.5" hidden="false" customHeight="true" outlineLevel="0" collapsed="false">
      <c r="A15" s="29" t="n">
        <v>310305</v>
      </c>
      <c r="B15" s="30" t="s">
        <v>79</v>
      </c>
      <c r="C15" s="29" t="s">
        <v>335</v>
      </c>
      <c r="D15" s="31" t="s">
        <v>309</v>
      </c>
      <c r="E15" s="29" t="s">
        <v>336</v>
      </c>
      <c r="F15" s="32" t="s">
        <v>311</v>
      </c>
      <c r="G15" s="29"/>
      <c r="H15" s="29"/>
      <c r="I15" s="29"/>
    </row>
    <row r="16" customFormat="false" ht="19.5" hidden="false" customHeight="true" outlineLevel="0" collapsed="false">
      <c r="A16" s="29" t="n">
        <v>310306</v>
      </c>
      <c r="B16" s="30" t="s">
        <v>98</v>
      </c>
      <c r="C16" s="29" t="s">
        <v>316</v>
      </c>
      <c r="D16" s="31" t="s">
        <v>309</v>
      </c>
      <c r="E16" s="33" t="s">
        <v>104</v>
      </c>
      <c r="F16" s="32" t="s">
        <v>311</v>
      </c>
      <c r="G16" s="29"/>
      <c r="H16" s="29"/>
      <c r="I16" s="29"/>
    </row>
    <row r="17" customFormat="false" ht="19.5" hidden="false" customHeight="true" outlineLevel="0" collapsed="false">
      <c r="A17" s="29" t="n">
        <v>310307</v>
      </c>
      <c r="B17" s="30" t="s">
        <v>105</v>
      </c>
      <c r="C17" s="29" t="s">
        <v>328</v>
      </c>
      <c r="D17" s="31" t="s">
        <v>52</v>
      </c>
      <c r="E17" s="29" t="s">
        <v>337</v>
      </c>
      <c r="F17" s="32" t="s">
        <v>311</v>
      </c>
      <c r="G17" s="29"/>
      <c r="H17" s="29"/>
      <c r="I17" s="29"/>
    </row>
    <row r="18" customFormat="false" ht="19.5" hidden="false" customHeight="true" outlineLevel="0" collapsed="false">
      <c r="A18" s="29" t="n">
        <v>310307</v>
      </c>
      <c r="B18" s="30" t="s">
        <v>105</v>
      </c>
      <c r="C18" s="29" t="s">
        <v>338</v>
      </c>
      <c r="D18" s="31" t="s">
        <v>339</v>
      </c>
      <c r="E18" s="29" t="s">
        <v>333</v>
      </c>
      <c r="F18" s="32" t="s">
        <v>311</v>
      </c>
      <c r="G18" s="29"/>
      <c r="H18" s="29"/>
      <c r="I18" s="29"/>
    </row>
    <row r="19" customFormat="false" ht="19.5" hidden="false" customHeight="true" outlineLevel="0" collapsed="false">
      <c r="A19" s="29"/>
      <c r="B19" s="29"/>
      <c r="C19" s="29"/>
      <c r="D19" s="31"/>
      <c r="E19" s="29"/>
      <c r="F19" s="29"/>
      <c r="G19" s="29"/>
      <c r="H19" s="29"/>
      <c r="I19" s="29"/>
    </row>
    <row r="20" customFormat="false" ht="19.5" hidden="false" customHeight="true" outlineLevel="0" collapsed="false">
      <c r="A20" s="29"/>
      <c r="B20" s="29"/>
      <c r="C20" s="29"/>
      <c r="D20" s="31"/>
      <c r="E20" s="29"/>
      <c r="F20" s="29"/>
      <c r="G20" s="29"/>
      <c r="H20" s="29"/>
      <c r="I20" s="29"/>
    </row>
    <row r="21" customFormat="false" ht="19.5" hidden="false" customHeight="true" outlineLevel="0" collapsed="false">
      <c r="A21" s="29"/>
      <c r="B21" s="29"/>
      <c r="C21" s="29"/>
      <c r="D21" s="31"/>
      <c r="E21" s="29"/>
      <c r="F21" s="29"/>
      <c r="G21" s="29"/>
      <c r="H21" s="29"/>
      <c r="I21" s="29"/>
    </row>
  </sheetData>
  <dataValidations count="2">
    <dataValidation allowBlank="true" errorStyle="stop" operator="between" showDropDown="false" showErrorMessage="false" showInputMessage="false" sqref="F2:F60" type="list">
      <formula1>"Análise,Andamento,Bloqueado,Concluído"</formula1>
      <formula2>0</formula2>
    </dataValidation>
    <dataValidation allowBlank="true" errorStyle="stop" operator="between" showDropDown="false" showErrorMessage="false" showInputMessage="false" sqref="D2:D60" type="list">
      <formula1>"FFC,FatInt,SupCrmImp,Sustentação,Arquitetura"</formula1>
      <formula2>0</formula2>
    </dataValidation>
  </dataValidations>
  <hyperlinks>
    <hyperlink ref="B2" r:id="rId1" display="MODAJOI-100934"/>
    <hyperlink ref="B3" r:id="rId2" display="MODAJOI-100979"/>
    <hyperlink ref="B4" r:id="rId3" display="MODAJOI-100396"/>
    <hyperlink ref="B5" r:id="rId4" display="MODAJOI-100652"/>
    <hyperlink ref="B6" r:id="rId5" display="MODAJOI-100187"/>
    <hyperlink ref="B7" r:id="rId6" display="MODAJOI-100578"/>
    <hyperlink ref="B8" r:id="rId7" display="MODAJOI-100461"/>
    <hyperlink ref="B9" r:id="rId8" display="MODAJOI-100418"/>
    <hyperlink ref="B11" r:id="rId9" display="MODAJOI-100985"/>
    <hyperlink ref="B12" r:id="rId10" display="MODAJOI-101207"/>
    <hyperlink ref="B13" r:id="rId11" display="MODAJOI-101207"/>
    <hyperlink ref="B14" r:id="rId12" display="MODAJOI-100887"/>
    <hyperlink ref="B15" r:id="rId13" display="MODAJOI-101011"/>
    <hyperlink ref="B16" r:id="rId14" display="MODAJOI-100894"/>
    <hyperlink ref="B17" r:id="rId15" display="MODAJOI-101199"/>
    <hyperlink ref="B18" r:id="rId16" display="MODAJOI-10119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7"/>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03125" defaultRowHeight="15" customHeight="false"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15"/>
    <col collapsed="false" customWidth="true" hidden="false" outlineLevel="0" max="4" min="4" style="0" width="13"/>
    <col collapsed="false" customWidth="true" hidden="false" outlineLevel="0" max="7" min="5" style="0" width="14"/>
    <col collapsed="false" customWidth="true" hidden="false" outlineLevel="0" max="9" min="8" style="0" width="20"/>
    <col collapsed="false" customWidth="true" hidden="false" outlineLevel="0" max="10" min="10" style="0" width="13"/>
    <col collapsed="false" customWidth="true" hidden="false" outlineLevel="0" max="11" min="11" style="0" width="40"/>
    <col collapsed="false" customWidth="true" hidden="false" outlineLevel="0" max="12" min="12" style="0" width="16"/>
    <col collapsed="false" customWidth="true" hidden="false" outlineLevel="0" max="14" min="13" style="0" width="18"/>
    <col collapsed="false" customWidth="true" hidden="false" outlineLevel="0" max="15" min="15" style="0" width="50"/>
    <col collapsed="false" customWidth="true" hidden="false" outlineLevel="0" max="16" min="16" style="0" width="40"/>
    <col collapsed="false" customWidth="true" hidden="false" outlineLevel="0" max="17" min="17" style="0" width="22"/>
    <col collapsed="false" customWidth="true" hidden="false" outlineLevel="0" max="18" min="18" style="0" width="14"/>
    <col collapsed="false" customWidth="true" hidden="false" outlineLevel="0" max="19" min="19" style="0" width="35"/>
    <col collapsed="false" customWidth="true" hidden="false" outlineLevel="0" max="20" min="20" style="0" width="20"/>
    <col collapsed="false" customWidth="true" hidden="false" outlineLevel="0" max="21" min="21" style="0" width="40"/>
    <col collapsed="false" customWidth="true" hidden="false" outlineLevel="0" max="25" min="22" style="0" width="18"/>
    <col collapsed="false" customWidth="true" hidden="false" outlineLevel="0" max="26" min="26" style="0" width="32"/>
    <col collapsed="false" customWidth="true" hidden="false" outlineLevel="0" max="27" min="27" style="0" width="16"/>
  </cols>
  <sheetData>
    <row r="1" customFormat="false" ht="31.5" hidden="false" customHeight="true" outlineLevel="0" collapsed="false">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c r="W1" s="34" t="s">
        <v>22</v>
      </c>
      <c r="X1" s="34" t="s">
        <v>23</v>
      </c>
      <c r="Y1" s="34" t="s">
        <v>24</v>
      </c>
      <c r="Z1" s="34" t="s">
        <v>25</v>
      </c>
      <c r="AA1" s="34" t="s">
        <v>340</v>
      </c>
    </row>
    <row r="4" customFormat="false" ht="15" hidden="false" customHeight="false" outlineLevel="0" collapsed="false">
      <c r="A4" s="35" t="s">
        <v>341</v>
      </c>
      <c r="B4" s="35"/>
      <c r="C4" s="35"/>
      <c r="D4" s="35"/>
      <c r="E4" s="35"/>
      <c r="F4" s="35"/>
      <c r="G4" s="35"/>
      <c r="H4" s="35"/>
      <c r="I4" s="35"/>
      <c r="J4" s="35"/>
      <c r="K4" s="35"/>
      <c r="L4" s="35"/>
      <c r="M4" s="35"/>
      <c r="N4" s="35"/>
      <c r="O4" s="35"/>
      <c r="P4" s="35"/>
      <c r="Q4" s="35"/>
      <c r="R4" s="35"/>
      <c r="S4" s="35"/>
      <c r="T4" s="35"/>
      <c r="U4" s="35"/>
      <c r="V4" s="35"/>
      <c r="W4" s="35"/>
      <c r="X4" s="35"/>
      <c r="Y4" s="35"/>
      <c r="Z4" s="35"/>
      <c r="AA4" s="35"/>
    </row>
  </sheetData>
  <mergeCells count="1">
    <mergeCell ref="A4:AA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03125" defaultRowHeight="15" customHeight="false" zeroHeight="false" outlineLevelRow="0" outlineLevelCol="0"/>
  <cols>
    <col collapsed="false" customWidth="true" hidden="false" outlineLevel="0" max="1" min="1" style="0" width="18"/>
    <col collapsed="false" customWidth="true" hidden="false" outlineLevel="0" max="6" min="2" style="0" width="22"/>
  </cols>
  <sheetData>
    <row r="1" customFormat="false" ht="31.5" hidden="false" customHeight="true" outlineLevel="0" collapsed="false">
      <c r="A1" s="20" t="s">
        <v>11</v>
      </c>
      <c r="B1" s="20" t="s">
        <v>12</v>
      </c>
      <c r="C1" s="20" t="s">
        <v>22</v>
      </c>
      <c r="D1" s="20" t="s">
        <v>342</v>
      </c>
      <c r="E1" s="20" t="s">
        <v>23</v>
      </c>
      <c r="F1" s="20" t="s">
        <v>343</v>
      </c>
    </row>
    <row r="2" customFormat="false" ht="15" hidden="false" customHeight="false" outlineLevel="0" collapsed="false">
      <c r="A2" s="24" t="s">
        <v>139</v>
      </c>
      <c r="B2" s="24" t="s">
        <v>140</v>
      </c>
      <c r="C2" s="24" t="s">
        <v>145</v>
      </c>
      <c r="D2" s="24" t="s">
        <v>112</v>
      </c>
      <c r="E2" s="24" t="s">
        <v>146</v>
      </c>
      <c r="F2" s="24" t="s">
        <v>344</v>
      </c>
    </row>
    <row r="3" customFormat="false" ht="15" hidden="false" customHeight="false" outlineLevel="0" collapsed="false">
      <c r="A3" s="36" t="s">
        <v>139</v>
      </c>
      <c r="B3" s="36" t="s">
        <v>345</v>
      </c>
      <c r="C3" s="36" t="s">
        <v>346</v>
      </c>
      <c r="D3" s="36" t="s">
        <v>112</v>
      </c>
      <c r="E3" s="36" t="s">
        <v>344</v>
      </c>
      <c r="F3" s="36" t="s">
        <v>347</v>
      </c>
    </row>
    <row r="4" customFormat="false" ht="15" hidden="false" customHeight="false" outlineLevel="0" collapsed="false">
      <c r="A4" s="24" t="s">
        <v>139</v>
      </c>
      <c r="B4" s="24" t="s">
        <v>158</v>
      </c>
      <c r="C4" s="24" t="s">
        <v>112</v>
      </c>
      <c r="D4" s="24" t="s">
        <v>145</v>
      </c>
      <c r="E4" s="24" t="s">
        <v>113</v>
      </c>
      <c r="F4" s="24" t="s">
        <v>348</v>
      </c>
    </row>
    <row r="5" customFormat="false" ht="15" hidden="false" customHeight="false" outlineLevel="0" collapsed="false">
      <c r="A5" s="36" t="s">
        <v>52</v>
      </c>
      <c r="B5" s="36" t="s">
        <v>349</v>
      </c>
      <c r="C5" s="36" t="s">
        <v>58</v>
      </c>
      <c r="D5" s="36"/>
      <c r="E5" s="36"/>
      <c r="F5" s="36"/>
    </row>
    <row r="6" customFormat="false" ht="15" hidden="false" customHeight="false" outlineLevel="0" collapsed="false">
      <c r="A6" s="24" t="s">
        <v>52</v>
      </c>
      <c r="B6" s="24" t="s">
        <v>53</v>
      </c>
      <c r="C6" s="24" t="s">
        <v>58</v>
      </c>
      <c r="D6" s="24"/>
      <c r="E6" s="24" t="s">
        <v>59</v>
      </c>
      <c r="F6" s="24"/>
    </row>
    <row r="7" customFormat="false" ht="15" hidden="false" customHeight="false" outlineLevel="0" collapsed="false">
      <c r="A7" s="36" t="s">
        <v>52</v>
      </c>
      <c r="B7" s="36" t="s">
        <v>124</v>
      </c>
      <c r="C7" s="36" t="s">
        <v>87</v>
      </c>
      <c r="D7" s="36"/>
      <c r="E7" s="36" t="s">
        <v>88</v>
      </c>
      <c r="F7" s="36"/>
    </row>
    <row r="8" customFormat="false" ht="15" hidden="false" customHeight="false" outlineLevel="0" collapsed="false">
      <c r="A8" s="24" t="s">
        <v>52</v>
      </c>
      <c r="B8" s="24" t="s">
        <v>350</v>
      </c>
      <c r="C8" s="24" t="s">
        <v>87</v>
      </c>
      <c r="D8" s="24"/>
      <c r="E8" s="24" t="s">
        <v>88</v>
      </c>
      <c r="F8" s="24"/>
    </row>
    <row r="9" customFormat="false" ht="15" hidden="false" customHeight="false" outlineLevel="0" collapsed="false">
      <c r="A9" s="36" t="s">
        <v>52</v>
      </c>
      <c r="B9" s="36" t="s">
        <v>351</v>
      </c>
      <c r="C9" s="36" t="s">
        <v>87</v>
      </c>
      <c r="D9" s="36"/>
      <c r="E9" s="36" t="s">
        <v>88</v>
      </c>
      <c r="F9" s="36"/>
    </row>
    <row r="10" customFormat="false" ht="15" hidden="false" customHeight="false" outlineLevel="0" collapsed="false">
      <c r="A10" s="24" t="s">
        <v>34</v>
      </c>
      <c r="B10" s="24" t="s">
        <v>244</v>
      </c>
      <c r="C10" s="24" t="s">
        <v>181</v>
      </c>
      <c r="D10" s="24" t="s">
        <v>44</v>
      </c>
      <c r="E10" s="24" t="s">
        <v>352</v>
      </c>
      <c r="F10" s="24"/>
    </row>
    <row r="11" customFormat="false" ht="15" hidden="false" customHeight="false" outlineLevel="0" collapsed="false">
      <c r="A11" s="36" t="s">
        <v>34</v>
      </c>
      <c r="B11" s="36" t="s">
        <v>35</v>
      </c>
      <c r="C11" s="36" t="s">
        <v>44</v>
      </c>
      <c r="D11" s="36" t="s">
        <v>181</v>
      </c>
      <c r="E11" s="36" t="s">
        <v>45</v>
      </c>
      <c r="F11" s="36"/>
    </row>
    <row r="12" customFormat="false" ht="15" hidden="false" customHeight="false" outlineLevel="0" collapsed="false">
      <c r="A12" s="24" t="s">
        <v>34</v>
      </c>
      <c r="B12" s="24" t="s">
        <v>353</v>
      </c>
      <c r="C12" s="24" t="s">
        <v>354</v>
      </c>
      <c r="D12" s="24" t="s">
        <v>44</v>
      </c>
      <c r="E12" s="24" t="s">
        <v>352</v>
      </c>
      <c r="F12" s="24" t="s">
        <v>355</v>
      </c>
    </row>
    <row r="13" customFormat="false" ht="15" hidden="false" customHeight="false" outlineLevel="0" collapsed="false">
      <c r="A13" s="36" t="s">
        <v>34</v>
      </c>
      <c r="B13" s="36" t="s">
        <v>356</v>
      </c>
      <c r="C13" s="36" t="s">
        <v>44</v>
      </c>
      <c r="D13" s="36" t="s">
        <v>354</v>
      </c>
      <c r="E13" s="36" t="s">
        <v>45</v>
      </c>
      <c r="F13" s="36" t="s">
        <v>182</v>
      </c>
    </row>
    <row r="14" customFormat="false" ht="15" hidden="false" customHeight="false" outlineLevel="0" collapsed="false">
      <c r="A14" s="24" t="s">
        <v>34</v>
      </c>
      <c r="B14" s="24" t="s">
        <v>357</v>
      </c>
      <c r="C14" s="24" t="s">
        <v>181</v>
      </c>
      <c r="D14" s="24"/>
      <c r="E14" s="24" t="s">
        <v>358</v>
      </c>
      <c r="F14" s="24" t="s">
        <v>352</v>
      </c>
    </row>
    <row r="15" customFormat="false" ht="15" hidden="false" customHeight="false" outlineLevel="0" collapsed="false">
      <c r="A15" s="36" t="s">
        <v>34</v>
      </c>
      <c r="B15" s="36" t="s">
        <v>359</v>
      </c>
      <c r="C15" s="36" t="s">
        <v>181</v>
      </c>
      <c r="D15" s="36" t="s">
        <v>44</v>
      </c>
      <c r="E15" s="36" t="s">
        <v>360</v>
      </c>
      <c r="F15" s="36"/>
    </row>
    <row r="16" customFormat="false" ht="15" hidden="false" customHeight="false" outlineLevel="0" collapsed="false">
      <c r="A16" s="24" t="s">
        <v>34</v>
      </c>
      <c r="B16" s="24" t="s">
        <v>178</v>
      </c>
      <c r="C16" s="24" t="s">
        <v>181</v>
      </c>
      <c r="D16" s="24" t="s">
        <v>354</v>
      </c>
      <c r="E16" s="24" t="s">
        <v>182</v>
      </c>
      <c r="F16" s="24"/>
    </row>
    <row r="17" customFormat="false" ht="15" hidden="false" customHeight="false" outlineLevel="0" collapsed="false">
      <c r="A17" s="36" t="s">
        <v>34</v>
      </c>
      <c r="B17" s="36" t="s">
        <v>361</v>
      </c>
      <c r="C17" s="36" t="s">
        <v>354</v>
      </c>
      <c r="D17" s="36"/>
      <c r="E17" s="36" t="s">
        <v>362</v>
      </c>
      <c r="F17" s="36" t="s">
        <v>360</v>
      </c>
    </row>
    <row r="18" customFormat="false" ht="15" hidden="false" customHeight="false" outlineLevel="0" collapsed="false">
      <c r="A18" s="24" t="s">
        <v>34</v>
      </c>
      <c r="B18" s="24" t="s">
        <v>363</v>
      </c>
      <c r="C18" s="24" t="s">
        <v>44</v>
      </c>
      <c r="D18" s="24" t="s">
        <v>354</v>
      </c>
      <c r="E18" s="24" t="s">
        <v>362</v>
      </c>
      <c r="F18" s="24"/>
    </row>
    <row r="19" customFormat="false" ht="15" hidden="false" customHeight="false" outlineLevel="0" collapsed="false">
      <c r="A19" s="36" t="s">
        <v>34</v>
      </c>
      <c r="B19" s="36" t="s">
        <v>364</v>
      </c>
      <c r="C19" s="36" t="s">
        <v>181</v>
      </c>
      <c r="D19" s="36" t="s">
        <v>44</v>
      </c>
      <c r="E19" s="36" t="s">
        <v>355</v>
      </c>
      <c r="F19" s="36"/>
    </row>
    <row r="20" customFormat="false" ht="15" hidden="false" customHeight="false" outlineLevel="0" collapsed="false">
      <c r="A20" s="24" t="s">
        <v>34</v>
      </c>
      <c r="B20" s="24" t="s">
        <v>365</v>
      </c>
      <c r="C20" s="24" t="s">
        <v>354</v>
      </c>
      <c r="D20" s="24"/>
      <c r="E20" s="24" t="s">
        <v>360</v>
      </c>
      <c r="F20" s="24"/>
    </row>
    <row r="21" customFormat="false" ht="15" hidden="false" customHeight="false" outlineLevel="0" collapsed="false">
      <c r="A21" s="36" t="s">
        <v>34</v>
      </c>
      <c r="B21" s="36" t="s">
        <v>366</v>
      </c>
      <c r="C21" s="36" t="s">
        <v>44</v>
      </c>
      <c r="D21" s="36" t="s">
        <v>181</v>
      </c>
      <c r="E21" s="36" t="s">
        <v>182</v>
      </c>
      <c r="F21" s="36"/>
    </row>
    <row r="22" customFormat="false" ht="15" hidden="false" customHeight="false" outlineLevel="0" collapsed="false">
      <c r="A22" s="24" t="s">
        <v>34</v>
      </c>
      <c r="B22" s="24" t="s">
        <v>218</v>
      </c>
      <c r="C22" s="24" t="s">
        <v>44</v>
      </c>
      <c r="D22" s="24"/>
      <c r="E22" s="24" t="s">
        <v>223</v>
      </c>
      <c r="F22" s="24"/>
    </row>
    <row r="23" customFormat="false" ht="15" hidden="false" customHeight="false" outlineLevel="0" collapsed="false">
      <c r="A23" s="36" t="s">
        <v>34</v>
      </c>
      <c r="B23" s="36" t="s">
        <v>270</v>
      </c>
      <c r="C23" s="36" t="s">
        <v>354</v>
      </c>
      <c r="D23" s="36" t="s">
        <v>181</v>
      </c>
      <c r="E23" s="36" t="s">
        <v>223</v>
      </c>
      <c r="F23" s="36"/>
    </row>
    <row r="25" customFormat="false" ht="15" hidden="false" customHeight="false" outlineLevel="0" collapsed="false">
      <c r="A25" s="35" t="s">
        <v>367</v>
      </c>
      <c r="B25" s="35"/>
      <c r="C25" s="35"/>
      <c r="D25" s="35"/>
      <c r="E25" s="35"/>
      <c r="F25" s="35"/>
    </row>
  </sheetData>
  <mergeCells count="1">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212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2026-03-30T19:08:41Z</dcterms:created>
  <dc:creator>openpyxl</dc:creator>
  <dc:description>Gerado em 30/03/2026 16:08</dc:description>
  <dc:language>pt-BR</dc:language>
  <cp:lastModifiedBy/>
  <dcterms:modified xsi:type="dcterms:W3CDTF">2026-04-06T14:44:24Z</dcterms:modified>
  <cp:revision>5</cp:revision>
  <dc:subject/>
  <dc:title>RCA Pocket</dc:title>
</cp:coreProperties>
</file>

<file path=docProps/custom.xml><?xml version="1.0" encoding="utf-8"?>
<Properties xmlns="http://schemas.openxmlformats.org/officeDocument/2006/custom-properties" xmlns:vt="http://schemas.openxmlformats.org/officeDocument/2006/docPropsVTypes"/>
</file>