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dos" sheetId="1" state="visible" r:id="rId3"/>
    <sheet name="🗂️ Acompanhamento Issue" sheetId="2" state="visible" r:id="rId4"/>
    <sheet name="👥 Responsávei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<sst xmlns="http://schemas.openxmlformats.org/spreadsheetml/2006/main" count="590" uniqueCount="204">
  <si>
    <t xml:space="preserve">Key</t>
  </si>
  <si>
    <t xml:space="preserve">Resumo</t>
  </si>
  <si>
    <t xml:space="preserve">Status Jira</t>
  </si>
  <si>
    <t xml:space="preserve">Prioridade</t>
  </si>
  <si>
    <t xml:space="preserve">Data Criação</t>
  </si>
  <si>
    <t xml:space="preserve">Data Resolução</t>
  </si>
  <si>
    <t xml:space="preserve">Dias p/ Resolver</t>
  </si>
  <si>
    <t xml:space="preserve">DeV Responsável pelo Bug</t>
  </si>
  <si>
    <t xml:space="preserve">QA Responsável pelo Bug</t>
  </si>
  <si>
    <t xml:space="preserve">Qtd Vínculos</t>
  </si>
  <si>
    <t xml:space="preserve">Causa Raiz</t>
  </si>
  <si>
    <t xml:space="preserve">Time</t>
  </si>
  <si>
    <t xml:space="preserve">Área</t>
  </si>
  <si>
    <t xml:space="preserve">Tipo Erro (Auto)</t>
  </si>
  <si>
    <t xml:space="preserve">Ação Realizada no Bug</t>
  </si>
  <si>
    <t xml:space="preserve">Análise da Causa</t>
  </si>
  <si>
    <t xml:space="preserve">Tipo de Ajuste</t>
  </si>
  <si>
    <t xml:space="preserve">Possui TA</t>
  </si>
  <si>
    <t xml:space="preserve">Resultado da Automação</t>
  </si>
  <si>
    <t xml:space="preserve">Contexto</t>
  </si>
  <si>
    <t xml:space="preserve">Problema Resolvido?</t>
  </si>
  <si>
    <t xml:space="preserve">QA Principal</t>
  </si>
  <si>
    <t xml:space="preserve">Dev Principal</t>
  </si>
  <si>
    <t xml:space="preserve">Issue de Acompanhamento</t>
  </si>
  <si>
    <t xml:space="preserve">Analisado</t>
  </si>
  <si>
    <t xml:space="preserve">Semana</t>
  </si>
  <si>
    <t xml:space="preserve">MODAJOI-99199</t>
  </si>
  <si>
    <t xml:space="preserve">Thread leak em processamento paralelo de XMLs em lote</t>
  </si>
  <si>
    <t xml:space="preserve">Em Análise</t>
  </si>
  <si>
    <t xml:space="preserve">Crítica</t>
  </si>
  <si>
    <t xml:space="preserve">Suprimentos</t>
  </si>
  <si>
    <t xml:space="preserve">Entrada XML</t>
  </si>
  <si>
    <t xml:space="preserve">Sistema</t>
  </si>
  <si>
    <t xml:space="preserve">Jenifer Lopes</t>
  </si>
  <si>
    <t xml:space="preserve">Vinícius Souza Martins</t>
  </si>
  <si>
    <t xml:space="preserve">Atual</t>
  </si>
  <si>
    <t xml:space="preserve">MODAJOI-98089</t>
  </si>
  <si>
    <t xml:space="preserve">Certificado digital expirado bloqueia importação de XML</t>
  </si>
  <si>
    <t xml:space="preserve">Resolvido</t>
  </si>
  <si>
    <t xml:space="preserve">Segurança</t>
  </si>
  <si>
    <t xml:space="preserve">Resolvido / Certificado A1 renovado (validade 3 anos). Implementado alerta automático 30 dias antes do vencimento via job agendado.</t>
  </si>
  <si>
    <t xml:space="preserve">Ausência de processo de renovação antecipada de certificado A1</t>
  </si>
  <si>
    <t xml:space="preserve">Preventiva / Processo</t>
  </si>
  <si>
    <t xml:space="preserve">Sim</t>
  </si>
  <si>
    <t xml:space="preserve">MODAJOI-98001</t>
  </si>
  <si>
    <t xml:space="preserve">Erro ao importar XML NF-e: ORA-01555 snapshot too old</t>
  </si>
  <si>
    <t xml:space="preserve">Alta</t>
  </si>
  <si>
    <t xml:space="preserve">Banco de Dados</t>
  </si>
  <si>
    <t xml:space="preserve">Resolvido / Aumentado undo_retention para 7200 no banco (undo_retention=7200). Deploy aplicado em produção após janela de manutenção.</t>
  </si>
  <si>
    <t xml:space="preserve">Undo retention insuficiente causava ORA-01555 em transações longas</t>
  </si>
  <si>
    <t xml:space="preserve">Correção de banco de dados</t>
  </si>
  <si>
    <t xml:space="preserve">MODAJOI-98178</t>
  </si>
  <si>
    <t xml:space="preserve">Duplicate key violation ao reprocessar XML já importado</t>
  </si>
  <si>
    <t xml:space="preserve">Falta de validação de idempotência no endpoint de importação XML</t>
  </si>
  <si>
    <t xml:space="preserve">Correção de código</t>
  </si>
  <si>
    <t xml:space="preserve">MODAJOI-98045</t>
  </si>
  <si>
    <t xml:space="preserve">Timeout na consulta ao SEFAZ durante importação de XML</t>
  </si>
  <si>
    <t xml:space="preserve">Indisponibilidade</t>
  </si>
  <si>
    <t xml:space="preserve">Timeout de 30s insuficiente para SEFAZ em horários de pico</t>
  </si>
  <si>
    <t xml:space="preserve">Ajuste de configuração</t>
  </si>
  <si>
    <t xml:space="preserve">Não</t>
  </si>
  <si>
    <t xml:space="preserve">MODAJOI-98667</t>
  </si>
  <si>
    <t xml:space="preserve">Integração com ERP retorna 500 ao confirmar pedido de compra com 200+ itens</t>
  </si>
  <si>
    <t xml:space="preserve">Compras 2.0</t>
  </si>
  <si>
    <t xml:space="preserve">StackOverflow no parser ao processar pedidos com 200+ itens</t>
  </si>
  <si>
    <t xml:space="preserve">Guilherme Rocha</t>
  </si>
  <si>
    <t xml:space="preserve">Rafael Flecha</t>
  </si>
  <si>
    <t xml:space="preserve">MODAJOI-98578</t>
  </si>
  <si>
    <t xml:space="preserve">Cálculo de estoque mínimo incorreto: overflow numérico em produtos com alta rotatividade</t>
  </si>
  <si>
    <t xml:space="preserve">Integer overflow em INT32 para SKUs com volume de vendas acima de 32k/mês</t>
  </si>
  <si>
    <t xml:space="preserve">MODAJOI-98267</t>
  </si>
  <si>
    <t xml:space="preserve">Timeout na execução do balanço em lojas com mais de 50k itens</t>
  </si>
  <si>
    <t xml:space="preserve">Balanço</t>
  </si>
  <si>
    <t xml:space="preserve">Resolvido / Criado índice composto idx_produto_loja_cod em tabela de produtos. Tempo caiu de 30min para 45s. Full scan eliminado.</t>
  </si>
  <si>
    <t xml:space="preserve">Full scan em tabela de produtos sem índice composto adequado</t>
  </si>
  <si>
    <t xml:space="preserve">Otimização de banco de dados</t>
  </si>
  <si>
    <t xml:space="preserve">Ana Paula Coelho</t>
  </si>
  <si>
    <t xml:space="preserve">Willian Dias Brito</t>
  </si>
  <si>
    <t xml:space="preserve">MODAJOI-99287</t>
  </si>
  <si>
    <t xml:space="preserve">Sugestão de compras duplica pedidos em caso de erro de rede com retry</t>
  </si>
  <si>
    <t xml:space="preserve">Integração</t>
  </si>
  <si>
    <t xml:space="preserve">Endpoint sem idempotência combinado com retry automático do frontend</t>
  </si>
  <si>
    <t xml:space="preserve">MODAJOI-99154</t>
  </si>
  <si>
    <t xml:space="preserve">API de compras retorna 401 após renovação de certificado do servidor</t>
  </si>
  <si>
    <t xml:space="preserve">Aberto</t>
  </si>
  <si>
    <t xml:space="preserve">Truststore do client não atualizado após renovação de certificado SSL</t>
  </si>
  <si>
    <t xml:space="preserve">Configuração / Parâmetro</t>
  </si>
  <si>
    <t xml:space="preserve">MODAJOI-98889</t>
  </si>
  <si>
    <t xml:space="preserve">Performance degradada no módulo de sugestão em horários de pico</t>
  </si>
  <si>
    <t xml:space="preserve">Pool de conexões esgotado em horário de pico por configuração subdimensionada</t>
  </si>
  <si>
    <t xml:space="preserve">MODAJOI-98622</t>
  </si>
  <si>
    <t xml:space="preserve">Tela de compras 2.0 não carrega para usuário com perfil Comprador</t>
  </si>
  <si>
    <t xml:space="preserve">Configuração</t>
  </si>
  <si>
    <t xml:space="preserve">Perfil Comprador não recebeu grant correto na atualização de roles</t>
  </si>
  <si>
    <t xml:space="preserve">MODAJOI-98534</t>
  </si>
  <si>
    <t xml:space="preserve">API de fornecedores timeout após 30s na tela de sugestão de compras</t>
  </si>
  <si>
    <t xml:space="preserve">Consulta de fornecedores sem paginação retornava catálogo completo de uma vez</t>
  </si>
  <si>
    <t xml:space="preserve">MODAJOI-98489</t>
  </si>
  <si>
    <t xml:space="preserve">Sugestão de compras retorna valores nulos para produtos novos</t>
  </si>
  <si>
    <t xml:space="preserve">Produto sem histórico gerava NullPointerException na engine de sugestão</t>
  </si>
  <si>
    <t xml:space="preserve">MODAJOI-99110</t>
  </si>
  <si>
    <t xml:space="preserve">Índice corrompido causa lentidão crítica em consultas de balanço</t>
  </si>
  <si>
    <t xml:space="preserve">Índice corrompido sem processo automatizado de detecção e reconstrução</t>
  </si>
  <si>
    <t xml:space="preserve">MODAJOI-98977</t>
  </si>
  <si>
    <t xml:space="preserve">Erro de permissão no schema de BD ao abrir módulo de balanço</t>
  </si>
  <si>
    <t xml:space="preserve">Script de deploy não incluía grant de SELECT no schema de staging</t>
  </si>
  <si>
    <t xml:space="preserve">MODAJOI-98445</t>
  </si>
  <si>
    <t xml:space="preserve">Query de divergência no balanço demora 40 minutos para executar</t>
  </si>
  <si>
    <t xml:space="preserve">Query de divergência sem índice adequado, plan com hash join em 2M registros</t>
  </si>
  <si>
    <t xml:space="preserve">MODAJOI-98401</t>
  </si>
  <si>
    <t xml:space="preserve">OutOfMemoryError ao gerar relatório de balanço com histórico completo</t>
  </si>
  <si>
    <t xml:space="preserve">Ausência de paginação causava carga total do histórico em memória</t>
  </si>
  <si>
    <t xml:space="preserve">MODAJOI-98356</t>
  </si>
  <si>
    <t xml:space="preserve">Relatório de balanço retorna divergência incorreta de quantidade</t>
  </si>
  <si>
    <t xml:space="preserve">Cálculo de divergência incorreto quando há múltiplos depósitos</t>
  </si>
  <si>
    <t xml:space="preserve">MODAJOI-98312</t>
  </si>
  <si>
    <t xml:space="preserve">Deadlock ao salvar contagem simultânea de múltiplos coletores</t>
  </si>
  <si>
    <t xml:space="preserve">Lock em linha durante gravação simultânea sem controle de concorrência</t>
  </si>
  <si>
    <t xml:space="preserve">MODAJOI-98933</t>
  </si>
  <si>
    <t xml:space="preserve">SEFAZ retorna erro 539 não tratado na importação de CT-e</t>
  </si>
  <si>
    <t xml:space="preserve">Código 539 do SEFAZ não mapeado no handler, causando NullPointerException</t>
  </si>
  <si>
    <t xml:space="preserve">MODAJOI-98800</t>
  </si>
  <si>
    <t xml:space="preserve">Inconsistência de quantidade após importação de XML de devolução</t>
  </si>
  <si>
    <t xml:space="preserve">Cálculo de sinal incorreto na movimentação de devolução XML</t>
  </si>
  <si>
    <t xml:space="preserve">MODAJOI-98756</t>
  </si>
  <si>
    <t xml:space="preserve">ORA-00060 deadlock ao processar lote de XMLs simultâneos</t>
  </si>
  <si>
    <t xml:space="preserve">Contention em tabela de staging sem controle de lock optimista</t>
  </si>
  <si>
    <t xml:space="preserve">TASK-12345</t>
  </si>
  <si>
    <t xml:space="preserve">MODAJOI-99021</t>
  </si>
  <si>
    <t xml:space="preserve">Sugestão de compras ignora parâmetro de estoque de segurança configurado</t>
  </si>
  <si>
    <t xml:space="preserve">Média</t>
  </si>
  <si>
    <t xml:space="preserve">Parâmetro estoque_segurança não lido da configuração de empresa</t>
  </si>
  <si>
    <t xml:space="preserve">MODAJOI-98711</t>
  </si>
  <si>
    <t xml:space="preserve">Token JWT expira durante sessão longa de compras sem aviso ao usuário</t>
  </si>
  <si>
    <t xml:space="preserve">Autenticação silenciosa não renova token JWT em sessões longas</t>
  </si>
  <si>
    <t xml:space="preserve">MODAJOI-99243</t>
  </si>
  <si>
    <t xml:space="preserve">Balanço não finaliza quando há produto sem código de barras</t>
  </si>
  <si>
    <t xml:space="preserve">NullPointerException ao finalizar balanço com produto sem código de barras</t>
  </si>
  <si>
    <t xml:space="preserve">MODAJOI-98844</t>
  </si>
  <si>
    <t xml:space="preserve">Balanço parcial não consolida corretamente com contagens anteriores</t>
  </si>
  <si>
    <t xml:space="preserve">Outro</t>
  </si>
  <si>
    <t xml:space="preserve">Consolidação de balanço parcial soma duplicado com contagens anteriores</t>
  </si>
  <si>
    <t xml:space="preserve">MODAJOI-99066</t>
  </si>
  <si>
    <t xml:space="preserve">Importação XML falha silenciosamente sem log de erro gerado</t>
  </si>
  <si>
    <t xml:space="preserve">MODAJOI-98223</t>
  </si>
  <si>
    <t xml:space="preserve">Lentidão na importação de XMLs em lote acima de 50 arquivos</t>
  </si>
  <si>
    <t xml:space="preserve">Processamento síncrono sem fila para lotes grandes de XML</t>
  </si>
  <si>
    <t xml:space="preserve">MODAJOI-98134</t>
  </si>
  <si>
    <t xml:space="preserve">XML com schema inválido não apresenta mensagem de erro adequada</t>
  </si>
  <si>
    <t xml:space="preserve">Schema inválido do XML não validado antes do processamento</t>
  </si>
  <si>
    <t xml:space="preserve">MODAJOI-100899</t>
  </si>
  <si>
    <t xml:space="preserve">Issue Acompanhamento</t>
  </si>
  <si>
    <t xml:space="preserve">Issue Original</t>
  </si>
  <si>
    <t xml:space="preserve">Responsável</t>
  </si>
  <si>
    <t xml:space="preserve">Ação</t>
  </si>
  <si>
    <t xml:space="preserve">Status da Ação</t>
  </si>
  <si>
    <t xml:space="preserve">Data Conclusão</t>
  </si>
  <si>
    <t xml:space="preserve">Observação</t>
  </si>
  <si>
    <t xml:space="preserve">SupCrmImp</t>
  </si>
  <si>
    <t xml:space="preserve">Adicionar controle de concorrência com versioning na tabela de staging</t>
  </si>
  <si>
    <t xml:space="preserve">Concluído</t>
  </si>
  <si>
    <t xml:space="preserve">Implementar validação XSD no início do pipeline de importação</t>
  </si>
  <si>
    <t xml:space="preserve">Análise</t>
  </si>
  <si>
    <t xml:space="preserve">QA Secundário</t>
  </si>
  <si>
    <t xml:space="preserve">Dev Secundário</t>
  </si>
  <si>
    <t xml:space="preserve">João Vitor Leone</t>
  </si>
  <si>
    <t xml:space="preserve">Mauricio Maia</t>
  </si>
  <si>
    <t xml:space="preserve">FFC</t>
  </si>
  <si>
    <t xml:space="preserve">Conciliadores</t>
  </si>
  <si>
    <t xml:space="preserve">Fabio Elias</t>
  </si>
  <si>
    <t xml:space="preserve">Michelle Pereira</t>
  </si>
  <si>
    <t xml:space="preserve">Gestão Financeira</t>
  </si>
  <si>
    <t xml:space="preserve">NF-e</t>
  </si>
  <si>
    <t xml:space="preserve">Jean Carlos</t>
  </si>
  <si>
    <t xml:space="preserve">Flavia Doge</t>
  </si>
  <si>
    <t xml:space="preserve">Rejeições</t>
  </si>
  <si>
    <t xml:space="preserve">Conferencia de Caixa</t>
  </si>
  <si>
    <t xml:space="preserve">FatInt</t>
  </si>
  <si>
    <t xml:space="preserve">POS</t>
  </si>
  <si>
    <t xml:space="preserve">Vicente</t>
  </si>
  <si>
    <t xml:space="preserve">Daiane</t>
  </si>
  <si>
    <t xml:space="preserve">Luis</t>
  </si>
  <si>
    <t xml:space="preserve">Venda Fácil</t>
  </si>
  <si>
    <t xml:space="preserve">Gisele</t>
  </si>
  <si>
    <t xml:space="preserve">Trocas</t>
  </si>
  <si>
    <t xml:space="preserve">Maica</t>
  </si>
  <si>
    <t xml:space="preserve">Raul</t>
  </si>
  <si>
    <t xml:space="preserve">Ótico</t>
  </si>
  <si>
    <t xml:space="preserve">Letícia</t>
  </si>
  <si>
    <t xml:space="preserve">B2C</t>
  </si>
  <si>
    <t xml:space="preserve">Amanda</t>
  </si>
  <si>
    <t xml:space="preserve">Importadores</t>
  </si>
  <si>
    <t xml:space="preserve">Marcus</t>
  </si>
  <si>
    <t xml:space="preserve">Gerador de Relatórios</t>
  </si>
  <si>
    <t xml:space="preserve">Serviços e Painel NFse</t>
  </si>
  <si>
    <t xml:space="preserve">Guilherme</t>
  </si>
  <si>
    <t xml:space="preserve">SmartPOS</t>
  </si>
  <si>
    <t xml:space="preserve">Catalogo Digital</t>
  </si>
  <si>
    <t xml:space="preserve">Venda de Seguros</t>
  </si>
  <si>
    <t xml:space="preserve">Reshop</t>
  </si>
  <si>
    <t xml:space="preserve">Remessas e Retornos</t>
  </si>
  <si>
    <t xml:space="preserve">Otávio</t>
  </si>
  <si>
    <t xml:space="preserve">TEF</t>
  </si>
  <si>
    <t xml:space="preserve">ℹ️ Edite o arquivo rca_config.yaml para alterar responsáveis. Re-execute generate_excel.py para atualizar.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</si>
</sst>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0"/>
    <numFmt numFmtId="167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mbria"/>
      <family val="0"/>
      <charset val="1"/>
    </font>
    <font>
      <b val="true"/>
      <u val="single"/>
      <sz val="9"/>
      <color rgb="FF0563C1"/>
      <name val="Cambria"/>
      <family val="0"/>
      <charset val="1"/>
    </font>
    <font>
      <sz val="9"/>
      <name val="Cambria"/>
      <family val="0"/>
      <charset val="1"/>
    </font>
    <font>
      <b val="true"/>
      <sz val="9"/>
      <color rgb="FFFFFFFF"/>
      <name val="Cambria"/>
      <family val="0"/>
      <charset val="1"/>
    </font>
    <font>
      <b val="true"/>
      <sz val="9"/>
      <color rgb="FF9C0006"/>
      <name val="Cambria"/>
      <family val="0"/>
      <charset val="1"/>
    </font>
    <font>
      <b val="true"/>
      <sz val="9"/>
      <color rgb="FF006100"/>
      <name val="Cambria"/>
      <family val="0"/>
      <charset val="1"/>
    </font>
    <font>
      <b val="true"/>
      <sz val="9"/>
      <color rgb="FF9C6500"/>
      <name val="Cambria"/>
      <family val="0"/>
      <charset val="1"/>
    </font>
    <font>
      <b val="true"/>
      <sz val="9"/>
      <color rgb="FF333333"/>
      <name val="Cambria"/>
      <family val="0"/>
      <charset val="1"/>
    </font>
    <font>
      <u val="single"/>
      <sz val="9"/>
      <color rgb="FF0563C1"/>
      <name val="Cambria"/>
      <family val="0"/>
      <charset val="1"/>
    </font>
    <font>
      <i val="true"/>
      <sz val="8"/>
      <color rgb="FF888888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F4E79"/>
        <bgColor rgb="FF44546A"/>
      </patternFill>
    </fill>
    <fill>
      <patternFill patternType="solid">
        <fgColor rgb="FF44546A"/>
        <bgColor rgb="FF1F4E79"/>
      </patternFill>
    </fill>
    <fill>
      <patternFill patternType="solid">
        <fgColor rgb="FF375623"/>
        <bgColor rgb="FF44546A"/>
      </patternFill>
    </fill>
    <fill>
      <patternFill patternType="solid">
        <fgColor rgb="FFD6E4F0"/>
        <bgColor rgb="FFE8EAED"/>
      </patternFill>
    </fill>
    <fill>
      <patternFill patternType="solid">
        <fgColor rgb="FFFFF2CC"/>
        <bgColor rgb="FFFCE4D6"/>
      </patternFill>
    </fill>
    <fill>
      <patternFill patternType="solid">
        <fgColor rgb="FFFF0000"/>
        <bgColor rgb="FF9C0006"/>
      </patternFill>
    </fill>
    <fill>
      <patternFill patternType="solid">
        <fgColor rgb="FFFFC7CE"/>
        <bgColor rgb="FFFCE4D6"/>
      </patternFill>
    </fill>
    <fill>
      <patternFill patternType="solid">
        <fgColor rgb="FFE8EAED"/>
        <bgColor rgb="FFEBF1DE"/>
      </patternFill>
    </fill>
    <fill>
      <patternFill patternType="solid">
        <fgColor rgb="FFEBF1DE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E2EFDA"/>
        <bgColor rgb="FFEBF1DE"/>
      </patternFill>
    </fill>
    <fill>
      <patternFill patternType="solid">
        <fgColor rgb="FFFF6600"/>
        <bgColor rgb="FFFF9900"/>
      </patternFill>
    </fill>
    <fill>
      <patternFill patternType="solid">
        <fgColor rgb="FFFFEB9C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C00"/>
        <bgColor rgb="FFFFFF00"/>
      </patternFill>
    </fill>
    <fill>
      <patternFill patternType="solid">
        <fgColor rgb="FF2E75B6"/>
        <bgColor rgb="FF0563C1"/>
      </patternFill>
    </fill>
    <fill>
      <patternFill patternType="solid">
        <fgColor rgb="FFEBF3FB"/>
        <bgColor rgb="FFE8EAED"/>
      </patternFill>
    </fill>
    <fill>
      <patternFill patternType="solid">
        <fgColor rgb="FFFFFFFF"/>
        <bgColor rgb="FFEBF3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1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1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1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6600"/>
          <bgColor rgb="FF000000"/>
        </patternFill>
      </fill>
    </dxf>
    <dxf>
      <fill>
        <patternFill patternType="solid">
          <fgColor rgb="FFFFCC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44546A"/>
          <bgColor rgb="FF000000"/>
        </patternFill>
      </fill>
    </dxf>
    <dxf>
      <fill>
        <patternFill patternType="solid">
          <fgColor rgb="FFE8EAED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EBF1D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EBF3F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CCCCC"/>
      <rgbColor rgb="FF888888"/>
      <rgbColor rgb="FF9999FF"/>
      <rgbColor rgb="FF993366"/>
      <rgbColor rgb="FFFFF2CC"/>
      <rgbColor rgb="FFEBF3FB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8EAED"/>
      <rgbColor rgb="FFFCE4D6"/>
      <rgbColor rgb="FFEBF1DE"/>
      <rgbColor rgb="FFFFC7CE"/>
      <rgbColor rgb="FF2E75B6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75623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Acompanhamento" displayName="TabelaAcompanhamento" ref="A1:H3" headerRowCount="1" totalsRowCount="0" totalsRowShown="0">
  <autoFilter ref="A1:H3"/>
  <tableColumns count="8">
    <tableColumn id="1" name="Issue Acompanhamento"/>
    <tableColumn id="2" name="Issue Original"/>
    <tableColumn id="3" name="Responsável"/>
    <tableColumn id="4" name="Área"/>
    <tableColumn id="5" name="Ação"/>
    <tableColumn id="6" name="Status da Ação"/>
    <tableColumn id="7" name="Data Conclusão"/>
    <tableColumn id="8" name="Observação"/>
  </tableColumns>
</table>
</file>

<file path=xl/tables/table2.xml><?xml version="1.0" encoding="utf-8"?>
<table xmlns="http://schemas.openxmlformats.org/spreadsheetml/2006/main" id="2" name="TabelaDados" displayName="TabelaDados" ref="A1:Z31" headerRowCount="1" totalsRowCount="0" totalsRowShown="0">
  <autoFilter ref="A1:Z31"/>
  <tableColumns count="26">
    <tableColumn id="1" name="Key"/>
    <tableColumn id="2" name="Resumo"/>
    <tableColumn id="3" name="Status Jira"/>
    <tableColumn id="4" name="Prioridade"/>
    <tableColumn id="5" name="Data Criação"/>
    <tableColumn id="6" name="Data Resolução"/>
    <tableColumn id="7" name="Dias p/ Resolver"/>
    <tableColumn id="8" name="DeV Responsável pelo Bug"/>
    <tableColumn id="9" name="QA Responsável pelo Bug"/>
    <tableColumn id="10" name="Qtd Vínculos"/>
    <tableColumn id="11" name="Causa Raiz"/>
    <tableColumn id="12" name="Time"/>
    <tableColumn id="13" name="Área"/>
    <tableColumn id="14" name="Tipo Erro (Auto)"/>
    <tableColumn id="15" name="Ação Realizada no Bug"/>
    <tableColumn id="16" name="Análise da Causa"/>
    <tableColumn id="17" name="Tipo de Ajuste"/>
    <tableColumn id="18" name="Possui TA"/>
    <tableColumn id="19" name="Resultado da Automação"/>
    <tableColumn id="20" name="Contexto"/>
    <tableColumn id="21" name="Problema Resolvido?"/>
    <tableColumn id="22" name="QA Principal"/>
    <tableColumn id="23" name="Dev Principal"/>
    <tableColumn id="24" name="Issue de Acompanhamento"/>
    <tableColumn id="25" name="Analisado"/>
    <tableColumn id="26" name="Semana"/>
  </tableColumns>
</table>
</file>

<file path=xl/tables/table3.xml><?xml version="1.0" encoding="utf-8"?>
<table xmlns="http://schemas.openxmlformats.org/spreadsheetml/2006/main" id="3" name="TabelaResponsaveis" displayName="TabelaResponsaveis" ref="A1:F23" headerRowCount="1" totalsRowCount="0" totalsRowShown="0">
  <autoFilter ref="A1:F23"/>
  <tableColumns count="6">
    <tableColumn id="1" name="Time"/>
    <tableColumn id="2" name="Área"/>
    <tableColumn id="3" name="QA Principal"/>
    <tableColumn id="4" name="QA Secundário"/>
    <tableColumn id="5" name="Dev Principal"/>
    <tableColumn id="6" name="Dev Secundári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99199" TargetMode="External"/><Relationship Id="rId2" Type="http://schemas.openxmlformats.org/officeDocument/2006/relationships/hyperlink" Target="https://jira.linx.com.br/browse/MODAJOI-98089" TargetMode="External"/><Relationship Id="rId3" Type="http://schemas.openxmlformats.org/officeDocument/2006/relationships/hyperlink" Target="https://jira.linx.com.br/browse/MODAJOI-98001" TargetMode="External"/><Relationship Id="rId4" Type="http://schemas.openxmlformats.org/officeDocument/2006/relationships/hyperlink" Target="https://jira.linx.com.br/browse/MODAJOI-98178" TargetMode="External"/><Relationship Id="rId5" Type="http://schemas.openxmlformats.org/officeDocument/2006/relationships/hyperlink" Target="https://jira.linx.com.br/browse/MODAJOI-98045" TargetMode="External"/><Relationship Id="rId6" Type="http://schemas.openxmlformats.org/officeDocument/2006/relationships/hyperlink" Target="https://jira.linx.com.br/browse/MODAJOI-98667" TargetMode="External"/><Relationship Id="rId7" Type="http://schemas.openxmlformats.org/officeDocument/2006/relationships/hyperlink" Target="https://jira.linx.com.br/browse/MODAJOI-98578" TargetMode="External"/><Relationship Id="rId8" Type="http://schemas.openxmlformats.org/officeDocument/2006/relationships/hyperlink" Target="https://jira.linx.com.br/browse/MODAJOI-98267" TargetMode="External"/><Relationship Id="rId9" Type="http://schemas.openxmlformats.org/officeDocument/2006/relationships/hyperlink" Target="https://jira.linx.com.br/browse/MODAJOI-99287" TargetMode="External"/><Relationship Id="rId10" Type="http://schemas.openxmlformats.org/officeDocument/2006/relationships/hyperlink" Target="https://jira.linx.com.br/browse/MODAJOI-99154" TargetMode="External"/><Relationship Id="rId11" Type="http://schemas.openxmlformats.org/officeDocument/2006/relationships/hyperlink" Target="https://jira.linx.com.br/browse/MODAJOI-98889" TargetMode="External"/><Relationship Id="rId12" Type="http://schemas.openxmlformats.org/officeDocument/2006/relationships/hyperlink" Target="https://jira.linx.com.br/browse/MODAJOI-98622" TargetMode="External"/><Relationship Id="rId13" Type="http://schemas.openxmlformats.org/officeDocument/2006/relationships/hyperlink" Target="https://jira.linx.com.br/browse/MODAJOI-98534" TargetMode="External"/><Relationship Id="rId14" Type="http://schemas.openxmlformats.org/officeDocument/2006/relationships/hyperlink" Target="https://jira.linx.com.br/browse/MODAJOI-98489" TargetMode="External"/><Relationship Id="rId15" Type="http://schemas.openxmlformats.org/officeDocument/2006/relationships/hyperlink" Target="https://jira.linx.com.br/browse/MODAJOI-99110" TargetMode="External"/><Relationship Id="rId16" Type="http://schemas.openxmlformats.org/officeDocument/2006/relationships/hyperlink" Target="https://jira.linx.com.br/browse/MODAJOI-98977" TargetMode="External"/><Relationship Id="rId17" Type="http://schemas.openxmlformats.org/officeDocument/2006/relationships/hyperlink" Target="https://jira.linx.com.br/browse/MODAJOI-98445" TargetMode="External"/><Relationship Id="rId18" Type="http://schemas.openxmlformats.org/officeDocument/2006/relationships/hyperlink" Target="https://jira.linx.com.br/browse/MODAJOI-98401" TargetMode="External"/><Relationship Id="rId19" Type="http://schemas.openxmlformats.org/officeDocument/2006/relationships/hyperlink" Target="https://jira.linx.com.br/browse/MODAJOI-98356" TargetMode="External"/><Relationship Id="rId20" Type="http://schemas.openxmlformats.org/officeDocument/2006/relationships/hyperlink" Target="https://jira.linx.com.br/browse/MODAJOI-98312" TargetMode="External"/><Relationship Id="rId21" Type="http://schemas.openxmlformats.org/officeDocument/2006/relationships/hyperlink" Target="https://jira.linx.com.br/browse/MODAJOI-98933" TargetMode="External"/><Relationship Id="rId22" Type="http://schemas.openxmlformats.org/officeDocument/2006/relationships/hyperlink" Target="https://jira.linx.com.br/browse/MODAJOI-98800" TargetMode="External"/><Relationship Id="rId23" Type="http://schemas.openxmlformats.org/officeDocument/2006/relationships/hyperlink" Target="https://jira.linx.com.br/browse/MODAJOI-98756" TargetMode="External"/><Relationship Id="rId24" Type="http://schemas.openxmlformats.org/officeDocument/2006/relationships/hyperlink" Target="https://jira.linx.com.br/browse/MODAJOI-99021" TargetMode="External"/><Relationship Id="rId25" Type="http://schemas.openxmlformats.org/officeDocument/2006/relationships/hyperlink" Target="https://jira.linx.com.br/browse/MODAJOI-98711" TargetMode="External"/><Relationship Id="rId26" Type="http://schemas.openxmlformats.org/officeDocument/2006/relationships/hyperlink" Target="https://jira.linx.com.br/browse/MODAJOI-99243" TargetMode="External"/><Relationship Id="rId27" Type="http://schemas.openxmlformats.org/officeDocument/2006/relationships/hyperlink" Target="https://jira.linx.com.br/browse/MODAJOI-98844" TargetMode="External"/><Relationship Id="rId28" Type="http://schemas.openxmlformats.org/officeDocument/2006/relationships/hyperlink" Target="https://jira.linx.com.br/browse/MODAJOI-99066" TargetMode="External"/><Relationship Id="rId29" Type="http://schemas.openxmlformats.org/officeDocument/2006/relationships/hyperlink" Target="https://jira.linx.com.br/browse/MODAJOI-98223" TargetMode="External"/><Relationship Id="rId30" Type="http://schemas.openxmlformats.org/officeDocument/2006/relationships/hyperlink" Target="https://jira.linx.com.br/browse/MODAJOI-98134" TargetMode="External"/><Relationship Id="rId3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98756" TargetMode="External"/><Relationship Id="rId2" Type="http://schemas.openxmlformats.org/officeDocument/2006/relationships/hyperlink" Target="https://jira.linx.com.br/browse/MODAJOI-98134" TargetMode="External"/><Relationship Id="rId3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S9" activeCellId="0" sqref="S9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7" min="5" style="0" width="14"/>
    <col collapsed="false" customWidth="true" hidden="false" outlineLevel="0" max="9" min="8" style="0" width="20"/>
    <col collapsed="false" customWidth="true" hidden="false" outlineLevel="0" max="10" min="10" style="0" width="13"/>
    <col collapsed="false" customWidth="true" hidden="false" outlineLevel="0" max="11" min="11" style="0" width="40"/>
    <col collapsed="false" customWidth="true" hidden="false" outlineLevel="0" max="12" min="12" style="0" width="16"/>
    <col collapsed="false" customWidth="true" hidden="false" outlineLevel="0" max="14" min="13" style="0" width="18"/>
    <col collapsed="false" customWidth="true" hidden="false" outlineLevel="0" max="15" min="15" style="0" width="50"/>
    <col collapsed="false" customWidth="true" hidden="false" outlineLevel="0" max="16" min="16" style="0" width="40"/>
    <col collapsed="false" customWidth="true" hidden="false" outlineLevel="0" max="17" min="17" style="0" width="22"/>
    <col collapsed="false" customWidth="true" hidden="false" outlineLevel="0" max="18" min="18" style="0" width="14"/>
    <col collapsed="false" customWidth="true" hidden="false" outlineLevel="0" max="19" min="19" style="0" width="20"/>
    <col collapsed="false" customWidth="true" hidden="false" outlineLevel="0" max="20" min="20" style="0" width="40"/>
    <col collapsed="false" customWidth="true" hidden="false" outlineLevel="0" max="24" min="21" style="0" width="18"/>
    <col collapsed="false" customWidth="true" hidden="false" outlineLevel="0" max="25" min="25" style="0" width="14"/>
    <col collapsed="false" customWidth="true" hidden="false" outlineLevel="0" max="26" min="26" style="0" width="12"/>
  </cols>
  <sheetData>
    <row r="1" customFormat="false" ht="36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</row>
    <row r="2" customFormat="false" ht="19.5" hidden="false" customHeight="true" outlineLevel="0" collapsed="false">
      <c r="A2" s="4" t="s">
        <v>26</v>
      </c>
      <c r="B2" s="5" t="s">
        <v>27</v>
      </c>
      <c r="C2" s="6" t="s">
        <v>28</v>
      </c>
      <c r="D2" s="7" t="s">
        <v>29</v>
      </c>
      <c r="E2" s="8" t="n">
        <v>46057.4166666667</v>
      </c>
      <c r="F2" s="5"/>
      <c r="G2" s="9" t="str">
        <f aca="false">IF(OR(E2="",F2=""),"",INT(F2-E2))</f>
        <v/>
      </c>
      <c r="H2" s="5"/>
      <c r="I2" s="5"/>
      <c r="J2" s="10" t="n">
        <v>6</v>
      </c>
      <c r="K2" s="5"/>
      <c r="L2" s="11" t="s">
        <v>30</v>
      </c>
      <c r="M2" s="11" t="s">
        <v>31</v>
      </c>
      <c r="N2" s="11" t="s">
        <v>32</v>
      </c>
      <c r="O2" s="12"/>
      <c r="P2" s="13"/>
      <c r="Q2" s="13"/>
      <c r="R2" s="13"/>
      <c r="S2" s="13"/>
      <c r="T2" s="13"/>
      <c r="U2" s="13"/>
      <c r="V2" s="13" t="s">
        <v>33</v>
      </c>
      <c r="W2" s="13" t="s">
        <v>34</v>
      </c>
      <c r="X2" s="13"/>
      <c r="Y2" s="13"/>
      <c r="Z2" s="14" t="s">
        <v>35</v>
      </c>
    </row>
    <row r="3" customFormat="false" ht="39.75" hidden="false" customHeight="true" outlineLevel="0" collapsed="false">
      <c r="A3" s="4" t="s">
        <v>36</v>
      </c>
      <c r="B3" s="5" t="s">
        <v>37</v>
      </c>
      <c r="C3" s="15" t="s">
        <v>38</v>
      </c>
      <c r="D3" s="7" t="s">
        <v>29</v>
      </c>
      <c r="E3" s="8" t="n">
        <v>45949.4166666667</v>
      </c>
      <c r="F3" s="8" t="n">
        <v>45952.4166666667</v>
      </c>
      <c r="G3" s="9" t="n">
        <f aca="false">IF(OR(E3="",F3=""),"",INT(F3-E3))</f>
        <v>3</v>
      </c>
      <c r="H3" s="5"/>
      <c r="I3" s="5"/>
      <c r="J3" s="10" t="n">
        <v>5</v>
      </c>
      <c r="K3" s="5"/>
      <c r="L3" s="11" t="s">
        <v>30</v>
      </c>
      <c r="M3" s="11" t="s">
        <v>31</v>
      </c>
      <c r="N3" s="11" t="s">
        <v>39</v>
      </c>
      <c r="O3" s="12" t="s">
        <v>40</v>
      </c>
      <c r="P3" s="13" t="s">
        <v>41</v>
      </c>
      <c r="Q3" s="13" t="s">
        <v>42</v>
      </c>
      <c r="R3" s="13" t="s">
        <v>43</v>
      </c>
      <c r="S3" s="13"/>
      <c r="T3" s="13"/>
      <c r="U3" s="13" t="s">
        <v>43</v>
      </c>
      <c r="V3" s="13" t="s">
        <v>33</v>
      </c>
      <c r="W3" s="13" t="s">
        <v>34</v>
      </c>
      <c r="X3" s="13"/>
      <c r="Y3" s="13"/>
      <c r="Z3" s="14" t="s">
        <v>35</v>
      </c>
    </row>
    <row r="4" customFormat="false" ht="39.75" hidden="false" customHeight="true" outlineLevel="0" collapsed="false">
      <c r="A4" s="4" t="s">
        <v>44</v>
      </c>
      <c r="B4" s="5" t="s">
        <v>45</v>
      </c>
      <c r="C4" s="15" t="s">
        <v>38</v>
      </c>
      <c r="D4" s="16" t="s">
        <v>46</v>
      </c>
      <c r="E4" s="8" t="n">
        <v>45936.4166666667</v>
      </c>
      <c r="F4" s="8" t="n">
        <v>45939.4166666667</v>
      </c>
      <c r="G4" s="9" t="n">
        <f aca="false">IF(OR(E4="",F4=""),"",INT(F4-E4))</f>
        <v>3</v>
      </c>
      <c r="H4" s="5"/>
      <c r="I4" s="5"/>
      <c r="J4" s="17" t="n">
        <v>3</v>
      </c>
      <c r="K4" s="5"/>
      <c r="L4" s="11" t="s">
        <v>30</v>
      </c>
      <c r="M4" s="11" t="s">
        <v>31</v>
      </c>
      <c r="N4" s="11" t="s">
        <v>47</v>
      </c>
      <c r="O4" s="12" t="s">
        <v>48</v>
      </c>
      <c r="P4" s="13" t="s">
        <v>49</v>
      </c>
      <c r="Q4" s="13" t="s">
        <v>50</v>
      </c>
      <c r="R4" s="13" t="s">
        <v>43</v>
      </c>
      <c r="S4" s="13"/>
      <c r="T4" s="13"/>
      <c r="U4" s="13" t="s">
        <v>43</v>
      </c>
      <c r="V4" s="13" t="s">
        <v>33</v>
      </c>
      <c r="W4" s="13" t="s">
        <v>34</v>
      </c>
      <c r="X4" s="13"/>
      <c r="Y4" s="13"/>
      <c r="Z4" s="14" t="s">
        <v>35</v>
      </c>
    </row>
    <row r="5" customFormat="false" ht="39.75" hidden="false" customHeight="true" outlineLevel="0" collapsed="false">
      <c r="A5" s="4" t="s">
        <v>51</v>
      </c>
      <c r="B5" s="5" t="s">
        <v>52</v>
      </c>
      <c r="C5" s="15" t="s">
        <v>38</v>
      </c>
      <c r="D5" s="16" t="s">
        <v>46</v>
      </c>
      <c r="E5" s="8" t="n">
        <v>45967.4166666667</v>
      </c>
      <c r="F5" s="8" t="n">
        <v>45972.4166666667</v>
      </c>
      <c r="G5" s="9" t="n">
        <f aca="false">IF(OR(E5="",F5=""),"",INT(F5-E5))</f>
        <v>5</v>
      </c>
      <c r="H5" s="5"/>
      <c r="I5" s="5"/>
      <c r="J5" s="5" t="n">
        <v>2</v>
      </c>
      <c r="K5" s="5"/>
      <c r="L5" s="11" t="s">
        <v>30</v>
      </c>
      <c r="M5" s="11" t="s">
        <v>31</v>
      </c>
      <c r="N5" s="11" t="s">
        <v>47</v>
      </c>
      <c r="O5" s="12" t="s">
        <v>38</v>
      </c>
      <c r="P5" s="13" t="s">
        <v>53</v>
      </c>
      <c r="Q5" s="13" t="s">
        <v>54</v>
      </c>
      <c r="R5" s="13" t="s">
        <v>43</v>
      </c>
      <c r="S5" s="13"/>
      <c r="T5" s="13"/>
      <c r="U5" s="13" t="s">
        <v>43</v>
      </c>
      <c r="V5" s="13" t="s">
        <v>33</v>
      </c>
      <c r="W5" s="13" t="s">
        <v>34</v>
      </c>
      <c r="X5" s="13"/>
      <c r="Y5" s="13"/>
      <c r="Z5" s="14" t="s">
        <v>35</v>
      </c>
    </row>
    <row r="6" customFormat="false" ht="39.75" hidden="false" customHeight="true" outlineLevel="0" collapsed="false">
      <c r="A6" s="4" t="s">
        <v>55</v>
      </c>
      <c r="B6" s="5" t="s">
        <v>56</v>
      </c>
      <c r="C6" s="15" t="s">
        <v>38</v>
      </c>
      <c r="D6" s="16" t="s">
        <v>46</v>
      </c>
      <c r="E6" s="8" t="n">
        <v>45942.4166666667</v>
      </c>
      <c r="F6" s="8" t="n">
        <v>45947.4166666667</v>
      </c>
      <c r="G6" s="9" t="n">
        <f aca="false">IF(OR(E6="",F6=""),"",INT(F6-E6))</f>
        <v>5</v>
      </c>
      <c r="H6" s="5"/>
      <c r="I6" s="5"/>
      <c r="J6" s="5" t="n">
        <v>1</v>
      </c>
      <c r="K6" s="5"/>
      <c r="L6" s="11" t="s">
        <v>30</v>
      </c>
      <c r="M6" s="11" t="s">
        <v>31</v>
      </c>
      <c r="N6" s="11" t="s">
        <v>57</v>
      </c>
      <c r="O6" s="12" t="s">
        <v>38</v>
      </c>
      <c r="P6" s="13" t="s">
        <v>58</v>
      </c>
      <c r="Q6" s="13" t="s">
        <v>59</v>
      </c>
      <c r="R6" s="13" t="s">
        <v>60</v>
      </c>
      <c r="S6" s="13"/>
      <c r="T6" s="13"/>
      <c r="U6" s="13" t="s">
        <v>43</v>
      </c>
      <c r="V6" s="13" t="s">
        <v>33</v>
      </c>
      <c r="W6" s="13" t="s">
        <v>34</v>
      </c>
      <c r="X6" s="13"/>
      <c r="Y6" s="13"/>
      <c r="Z6" s="14" t="s">
        <v>35</v>
      </c>
    </row>
    <row r="7" customFormat="false" ht="19.5" hidden="false" customHeight="true" outlineLevel="0" collapsed="false">
      <c r="A7" s="4" t="s">
        <v>61</v>
      </c>
      <c r="B7" s="5" t="s">
        <v>62</v>
      </c>
      <c r="C7" s="6" t="s">
        <v>28</v>
      </c>
      <c r="D7" s="7" t="s">
        <v>29</v>
      </c>
      <c r="E7" s="8" t="n">
        <v>45999.4166666667</v>
      </c>
      <c r="F7" s="5"/>
      <c r="G7" s="9" t="str">
        <f aca="false">IF(OR(E7="",F7=""),"",INT(F7-E7))</f>
        <v/>
      </c>
      <c r="H7" s="5"/>
      <c r="I7" s="5"/>
      <c r="J7" s="5" t="n">
        <v>0</v>
      </c>
      <c r="K7" s="5"/>
      <c r="L7" s="11" t="s">
        <v>30</v>
      </c>
      <c r="M7" s="11" t="s">
        <v>63</v>
      </c>
      <c r="N7" s="11" t="s">
        <v>32</v>
      </c>
      <c r="O7" s="12"/>
      <c r="P7" s="13" t="s">
        <v>64</v>
      </c>
      <c r="Q7" s="13" t="s">
        <v>54</v>
      </c>
      <c r="R7" s="13" t="s">
        <v>43</v>
      </c>
      <c r="S7" s="13"/>
      <c r="T7" s="13"/>
      <c r="U7" s="13" t="s">
        <v>60</v>
      </c>
      <c r="V7" s="13" t="s">
        <v>65</v>
      </c>
      <c r="W7" s="13" t="s">
        <v>66</v>
      </c>
      <c r="X7" s="13"/>
      <c r="Y7" s="13"/>
      <c r="Z7" s="14" t="s">
        <v>35</v>
      </c>
    </row>
    <row r="8" customFormat="false" ht="39.75" hidden="false" customHeight="true" outlineLevel="0" collapsed="false">
      <c r="A8" s="4" t="s">
        <v>67</v>
      </c>
      <c r="B8" s="5" t="s">
        <v>68</v>
      </c>
      <c r="C8" s="15" t="s">
        <v>38</v>
      </c>
      <c r="D8" s="7" t="s">
        <v>29</v>
      </c>
      <c r="E8" s="8" t="n">
        <v>45972.4166666667</v>
      </c>
      <c r="F8" s="8" t="n">
        <v>45979.4166666667</v>
      </c>
      <c r="G8" s="9" t="n">
        <f aca="false">IF(OR(E8="",F8=""),"",INT(F8-E8))</f>
        <v>7</v>
      </c>
      <c r="H8" s="5"/>
      <c r="I8" s="5"/>
      <c r="J8" s="5" t="n">
        <v>0</v>
      </c>
      <c r="K8" s="5"/>
      <c r="L8" s="11" t="s">
        <v>30</v>
      </c>
      <c r="M8" s="11" t="s">
        <v>63</v>
      </c>
      <c r="N8" s="11" t="s">
        <v>32</v>
      </c>
      <c r="O8" s="12" t="s">
        <v>38</v>
      </c>
      <c r="P8" s="13" t="s">
        <v>69</v>
      </c>
      <c r="Q8" s="13" t="s">
        <v>54</v>
      </c>
      <c r="R8" s="13" t="s">
        <v>43</v>
      </c>
      <c r="S8" s="13"/>
      <c r="T8" s="13"/>
      <c r="U8" s="13" t="s">
        <v>43</v>
      </c>
      <c r="V8" s="13" t="s">
        <v>65</v>
      </c>
      <c r="W8" s="13" t="s">
        <v>66</v>
      </c>
      <c r="X8" s="13"/>
      <c r="Y8" s="13"/>
      <c r="Z8" s="14" t="s">
        <v>35</v>
      </c>
    </row>
    <row r="9" customFormat="false" ht="39.75" hidden="false" customHeight="true" outlineLevel="0" collapsed="false">
      <c r="A9" s="4" t="s">
        <v>70</v>
      </c>
      <c r="B9" s="5" t="s">
        <v>71</v>
      </c>
      <c r="C9" s="15" t="s">
        <v>38</v>
      </c>
      <c r="D9" s="7" t="s">
        <v>29</v>
      </c>
      <c r="E9" s="8" t="n">
        <v>45939.4166666667</v>
      </c>
      <c r="F9" s="8" t="n">
        <v>45944.4166666667</v>
      </c>
      <c r="G9" s="9" t="n">
        <f aca="false">IF(OR(E9="",F9=""),"",INT(F9-E9))</f>
        <v>5</v>
      </c>
      <c r="H9" s="5"/>
      <c r="I9" s="5"/>
      <c r="J9" s="5" t="n">
        <v>0</v>
      </c>
      <c r="K9" s="5"/>
      <c r="L9" s="11" t="s">
        <v>30</v>
      </c>
      <c r="M9" s="11" t="s">
        <v>72</v>
      </c>
      <c r="N9" s="11" t="s">
        <v>47</v>
      </c>
      <c r="O9" s="12" t="s">
        <v>73</v>
      </c>
      <c r="P9" s="13" t="s">
        <v>74</v>
      </c>
      <c r="Q9" s="13" t="s">
        <v>75</v>
      </c>
      <c r="R9" s="13" t="s">
        <v>43</v>
      </c>
      <c r="S9" s="13"/>
      <c r="T9" s="13"/>
      <c r="U9" s="13" t="s">
        <v>43</v>
      </c>
      <c r="V9" s="13" t="s">
        <v>76</v>
      </c>
      <c r="W9" s="13" t="s">
        <v>77</v>
      </c>
      <c r="X9" s="13"/>
      <c r="Y9" s="13"/>
      <c r="Z9" s="14" t="s">
        <v>35</v>
      </c>
    </row>
    <row r="10" customFormat="false" ht="39.75" hidden="false" customHeight="true" outlineLevel="0" collapsed="false">
      <c r="A10" s="4" t="s">
        <v>78</v>
      </c>
      <c r="B10" s="5" t="s">
        <v>79</v>
      </c>
      <c r="C10" s="15" t="s">
        <v>38</v>
      </c>
      <c r="D10" s="16" t="s">
        <v>46</v>
      </c>
      <c r="E10" s="8" t="n">
        <v>46069.4166666667</v>
      </c>
      <c r="F10" s="8" t="n">
        <v>46077.4166666667</v>
      </c>
      <c r="G10" s="9" t="n">
        <f aca="false">IF(OR(E10="",F10=""),"",INT(F10-E10))</f>
        <v>8</v>
      </c>
      <c r="H10" s="5"/>
      <c r="I10" s="5"/>
      <c r="J10" s="5" t="n">
        <v>0</v>
      </c>
      <c r="K10" s="5"/>
      <c r="L10" s="11" t="s">
        <v>30</v>
      </c>
      <c r="M10" s="11" t="s">
        <v>63</v>
      </c>
      <c r="N10" s="11" t="s">
        <v>80</v>
      </c>
      <c r="O10" s="12" t="s">
        <v>38</v>
      </c>
      <c r="P10" s="13" t="s">
        <v>81</v>
      </c>
      <c r="Q10" s="13" t="s">
        <v>54</v>
      </c>
      <c r="R10" s="13" t="s">
        <v>43</v>
      </c>
      <c r="S10" s="13"/>
      <c r="T10" s="13"/>
      <c r="U10" s="13" t="s">
        <v>43</v>
      </c>
      <c r="V10" s="13" t="s">
        <v>65</v>
      </c>
      <c r="W10" s="13" t="s">
        <v>66</v>
      </c>
      <c r="X10" s="13"/>
      <c r="Y10" s="13"/>
      <c r="Z10" s="14" t="s">
        <v>35</v>
      </c>
    </row>
    <row r="11" customFormat="false" ht="19.5" hidden="false" customHeight="true" outlineLevel="0" collapsed="false">
      <c r="A11" s="4" t="s">
        <v>82</v>
      </c>
      <c r="B11" s="5" t="s">
        <v>83</v>
      </c>
      <c r="C11" s="18" t="s">
        <v>84</v>
      </c>
      <c r="D11" s="16" t="s">
        <v>46</v>
      </c>
      <c r="E11" s="8" t="n">
        <v>46052.4166666667</v>
      </c>
      <c r="F11" s="5"/>
      <c r="G11" s="9" t="str">
        <f aca="false">IF(OR(E11="",F11=""),"",INT(F11-E11))</f>
        <v/>
      </c>
      <c r="H11" s="5"/>
      <c r="I11" s="5"/>
      <c r="J11" s="5" t="n">
        <v>0</v>
      </c>
      <c r="K11" s="5"/>
      <c r="L11" s="11" t="s">
        <v>30</v>
      </c>
      <c r="M11" s="11" t="s">
        <v>63</v>
      </c>
      <c r="N11" s="11" t="s">
        <v>39</v>
      </c>
      <c r="O11" s="12"/>
      <c r="P11" s="13" t="s">
        <v>85</v>
      </c>
      <c r="Q11" s="13" t="s">
        <v>86</v>
      </c>
      <c r="R11" s="13" t="s">
        <v>43</v>
      </c>
      <c r="S11" s="13"/>
      <c r="T11" s="13"/>
      <c r="U11" s="13" t="s">
        <v>60</v>
      </c>
      <c r="V11" s="13" t="s">
        <v>65</v>
      </c>
      <c r="W11" s="13" t="s">
        <v>66</v>
      </c>
      <c r="X11" s="13"/>
      <c r="Y11" s="13"/>
      <c r="Z11" s="14" t="s">
        <v>35</v>
      </c>
    </row>
    <row r="12" customFormat="false" ht="39.75" hidden="false" customHeight="true" outlineLevel="0" collapsed="false">
      <c r="A12" s="4" t="s">
        <v>87</v>
      </c>
      <c r="B12" s="5" t="s">
        <v>88</v>
      </c>
      <c r="C12" s="15" t="s">
        <v>38</v>
      </c>
      <c r="D12" s="16" t="s">
        <v>46</v>
      </c>
      <c r="E12" s="8" t="n">
        <v>46019.4166666667</v>
      </c>
      <c r="F12" s="8" t="n">
        <v>46027.4166666667</v>
      </c>
      <c r="G12" s="9" t="n">
        <f aca="false">IF(OR(E12="",F12=""),"",INT(F12-E12))</f>
        <v>8</v>
      </c>
      <c r="H12" s="5"/>
      <c r="I12" s="5"/>
      <c r="J12" s="5" t="n">
        <v>0</v>
      </c>
      <c r="K12" s="5"/>
      <c r="L12" s="11" t="s">
        <v>30</v>
      </c>
      <c r="M12" s="11" t="s">
        <v>63</v>
      </c>
      <c r="N12" s="11" t="s">
        <v>57</v>
      </c>
      <c r="O12" s="12" t="s">
        <v>38</v>
      </c>
      <c r="P12" s="13" t="s">
        <v>89</v>
      </c>
      <c r="Q12" s="13" t="s">
        <v>59</v>
      </c>
      <c r="R12" s="13" t="s">
        <v>60</v>
      </c>
      <c r="S12" s="13"/>
      <c r="T12" s="13"/>
      <c r="U12" s="13" t="s">
        <v>43</v>
      </c>
      <c r="V12" s="13" t="s">
        <v>65</v>
      </c>
      <c r="W12" s="13" t="s">
        <v>66</v>
      </c>
      <c r="X12" s="13"/>
      <c r="Y12" s="13"/>
      <c r="Z12" s="14" t="s">
        <v>35</v>
      </c>
    </row>
    <row r="13" customFormat="false" ht="39.75" hidden="false" customHeight="true" outlineLevel="0" collapsed="false">
      <c r="A13" s="4" t="s">
        <v>90</v>
      </c>
      <c r="B13" s="5" t="s">
        <v>91</v>
      </c>
      <c r="C13" s="15" t="s">
        <v>38</v>
      </c>
      <c r="D13" s="16" t="s">
        <v>46</v>
      </c>
      <c r="E13" s="8" t="n">
        <v>45987.4166666667</v>
      </c>
      <c r="F13" s="8" t="n">
        <v>45993.4166666667</v>
      </c>
      <c r="G13" s="9" t="n">
        <f aca="false">IF(OR(E13="",F13=""),"",INT(F13-E13))</f>
        <v>6</v>
      </c>
      <c r="H13" s="5"/>
      <c r="I13" s="5"/>
      <c r="J13" s="5" t="n">
        <v>0</v>
      </c>
      <c r="K13" s="5"/>
      <c r="L13" s="11" t="s">
        <v>30</v>
      </c>
      <c r="M13" s="11" t="s">
        <v>63</v>
      </c>
      <c r="N13" s="11" t="s">
        <v>92</v>
      </c>
      <c r="O13" s="12" t="s">
        <v>38</v>
      </c>
      <c r="P13" s="13" t="s">
        <v>93</v>
      </c>
      <c r="Q13" s="13" t="s">
        <v>86</v>
      </c>
      <c r="R13" s="13" t="s">
        <v>60</v>
      </c>
      <c r="S13" s="13"/>
      <c r="T13" s="13"/>
      <c r="U13" s="13" t="s">
        <v>43</v>
      </c>
      <c r="V13" s="13" t="s">
        <v>65</v>
      </c>
      <c r="W13" s="13" t="s">
        <v>66</v>
      </c>
      <c r="X13" s="13"/>
      <c r="Y13" s="13"/>
      <c r="Z13" s="14" t="s">
        <v>35</v>
      </c>
    </row>
    <row r="14" customFormat="false" ht="39.75" hidden="false" customHeight="true" outlineLevel="0" collapsed="false">
      <c r="A14" s="4" t="s">
        <v>94</v>
      </c>
      <c r="B14" s="5" t="s">
        <v>95</v>
      </c>
      <c r="C14" s="15" t="s">
        <v>38</v>
      </c>
      <c r="D14" s="16" t="s">
        <v>46</v>
      </c>
      <c r="E14" s="8" t="n">
        <v>45959.4166666667</v>
      </c>
      <c r="F14" s="8" t="n">
        <v>45965.4166666667</v>
      </c>
      <c r="G14" s="9" t="n">
        <f aca="false">IF(OR(E14="",F14=""),"",INT(F14-E14))</f>
        <v>6</v>
      </c>
      <c r="H14" s="5"/>
      <c r="I14" s="5"/>
      <c r="J14" s="5" t="n">
        <v>0</v>
      </c>
      <c r="K14" s="5"/>
      <c r="L14" s="11" t="s">
        <v>30</v>
      </c>
      <c r="M14" s="11" t="s">
        <v>63</v>
      </c>
      <c r="N14" s="11" t="s">
        <v>57</v>
      </c>
      <c r="O14" s="12" t="s">
        <v>38</v>
      </c>
      <c r="P14" s="13" t="s">
        <v>96</v>
      </c>
      <c r="Q14" s="13" t="s">
        <v>75</v>
      </c>
      <c r="R14" s="13" t="s">
        <v>60</v>
      </c>
      <c r="S14" s="13"/>
      <c r="T14" s="13"/>
      <c r="U14" s="13" t="s">
        <v>43</v>
      </c>
      <c r="V14" s="13" t="s">
        <v>65</v>
      </c>
      <c r="W14" s="13" t="s">
        <v>66</v>
      </c>
      <c r="X14" s="13"/>
      <c r="Y14" s="13"/>
      <c r="Z14" s="14" t="s">
        <v>35</v>
      </c>
    </row>
    <row r="15" customFormat="false" ht="39.75" hidden="false" customHeight="true" outlineLevel="0" collapsed="false">
      <c r="A15" s="4" t="s">
        <v>97</v>
      </c>
      <c r="B15" s="5" t="s">
        <v>98</v>
      </c>
      <c r="C15" s="15" t="s">
        <v>38</v>
      </c>
      <c r="D15" s="16" t="s">
        <v>46</v>
      </c>
      <c r="E15" s="8" t="n">
        <v>45947.4166666667</v>
      </c>
      <c r="F15" s="8" t="n">
        <v>45954.4166666667</v>
      </c>
      <c r="G15" s="9" t="n">
        <f aca="false">IF(OR(E15="",F15=""),"",INT(F15-E15))</f>
        <v>7</v>
      </c>
      <c r="H15" s="5"/>
      <c r="I15" s="5"/>
      <c r="J15" s="5" t="n">
        <v>0</v>
      </c>
      <c r="K15" s="5"/>
      <c r="L15" s="11" t="s">
        <v>30</v>
      </c>
      <c r="M15" s="11" t="s">
        <v>63</v>
      </c>
      <c r="N15" s="11" t="s">
        <v>32</v>
      </c>
      <c r="O15" s="12" t="s">
        <v>38</v>
      </c>
      <c r="P15" s="13" t="s">
        <v>99</v>
      </c>
      <c r="Q15" s="13" t="s">
        <v>54</v>
      </c>
      <c r="R15" s="13" t="s">
        <v>43</v>
      </c>
      <c r="S15" s="13"/>
      <c r="T15" s="13"/>
      <c r="U15" s="13" t="s">
        <v>43</v>
      </c>
      <c r="V15" s="13" t="s">
        <v>65</v>
      </c>
      <c r="W15" s="13" t="s">
        <v>66</v>
      </c>
      <c r="X15" s="13"/>
      <c r="Y15" s="13"/>
      <c r="Z15" s="14" t="s">
        <v>35</v>
      </c>
    </row>
    <row r="16" customFormat="false" ht="39.75" hidden="false" customHeight="true" outlineLevel="0" collapsed="false">
      <c r="A16" s="4" t="s">
        <v>100</v>
      </c>
      <c r="B16" s="5" t="s">
        <v>101</v>
      </c>
      <c r="C16" s="15" t="s">
        <v>38</v>
      </c>
      <c r="D16" s="16" t="s">
        <v>46</v>
      </c>
      <c r="E16" s="8" t="n">
        <v>46032.4166666667</v>
      </c>
      <c r="F16" s="8" t="n">
        <v>46039.4166666667</v>
      </c>
      <c r="G16" s="9" t="n">
        <f aca="false">IF(OR(E16="",F16=""),"",INT(F16-E16))</f>
        <v>7</v>
      </c>
      <c r="H16" s="5"/>
      <c r="I16" s="5"/>
      <c r="J16" s="5" t="n">
        <v>0</v>
      </c>
      <c r="K16" s="5"/>
      <c r="L16" s="11" t="s">
        <v>30</v>
      </c>
      <c r="M16" s="11" t="s">
        <v>72</v>
      </c>
      <c r="N16" s="11" t="s">
        <v>47</v>
      </c>
      <c r="O16" s="12" t="s">
        <v>38</v>
      </c>
      <c r="P16" s="13" t="s">
        <v>102</v>
      </c>
      <c r="Q16" s="13" t="s">
        <v>50</v>
      </c>
      <c r="R16" s="13" t="s">
        <v>43</v>
      </c>
      <c r="S16" s="13"/>
      <c r="T16" s="13"/>
      <c r="U16" s="13" t="s">
        <v>43</v>
      </c>
      <c r="V16" s="13" t="s">
        <v>76</v>
      </c>
      <c r="W16" s="13" t="s">
        <v>77</v>
      </c>
      <c r="X16" s="13"/>
      <c r="Y16" s="13"/>
      <c r="Z16" s="14" t="s">
        <v>35</v>
      </c>
    </row>
    <row r="17" customFormat="false" ht="39.75" hidden="false" customHeight="true" outlineLevel="0" collapsed="false">
      <c r="A17" s="4" t="s">
        <v>103</v>
      </c>
      <c r="B17" s="5" t="s">
        <v>104</v>
      </c>
      <c r="C17" s="15" t="s">
        <v>38</v>
      </c>
      <c r="D17" s="16" t="s">
        <v>46</v>
      </c>
      <c r="E17" s="8" t="n">
        <v>46012.4166666667</v>
      </c>
      <c r="F17" s="8" t="n">
        <v>46017.4166666667</v>
      </c>
      <c r="G17" s="9" t="n">
        <f aca="false">IF(OR(E17="",F17=""),"",INT(F17-E17))</f>
        <v>5</v>
      </c>
      <c r="H17" s="5"/>
      <c r="I17" s="5"/>
      <c r="J17" s="5" t="n">
        <v>0</v>
      </c>
      <c r="K17" s="5"/>
      <c r="L17" s="11" t="s">
        <v>30</v>
      </c>
      <c r="M17" s="11" t="s">
        <v>72</v>
      </c>
      <c r="N17" s="11" t="s">
        <v>92</v>
      </c>
      <c r="O17" s="12" t="s">
        <v>38</v>
      </c>
      <c r="P17" s="13" t="s">
        <v>105</v>
      </c>
      <c r="Q17" s="13" t="s">
        <v>86</v>
      </c>
      <c r="R17" s="13" t="s">
        <v>60</v>
      </c>
      <c r="S17" s="13"/>
      <c r="T17" s="13"/>
      <c r="U17" s="13" t="s">
        <v>43</v>
      </c>
      <c r="V17" s="13" t="s">
        <v>76</v>
      </c>
      <c r="W17" s="13" t="s">
        <v>77</v>
      </c>
      <c r="X17" s="13"/>
      <c r="Y17" s="13"/>
      <c r="Z17" s="14" t="s">
        <v>35</v>
      </c>
    </row>
    <row r="18" customFormat="false" ht="19.5" hidden="false" customHeight="true" outlineLevel="0" collapsed="false">
      <c r="A18" s="4" t="s">
        <v>106</v>
      </c>
      <c r="B18" s="5" t="s">
        <v>107</v>
      </c>
      <c r="C18" s="18" t="s">
        <v>84</v>
      </c>
      <c r="D18" s="16" t="s">
        <v>46</v>
      </c>
      <c r="E18" s="8" t="n">
        <v>45979.4166666667</v>
      </c>
      <c r="F18" s="5"/>
      <c r="G18" s="9" t="str">
        <f aca="false">IF(OR(E18="",F18=""),"",INT(F18-E18))</f>
        <v/>
      </c>
      <c r="H18" s="5"/>
      <c r="I18" s="5"/>
      <c r="J18" s="5" t="n">
        <v>0</v>
      </c>
      <c r="K18" s="5"/>
      <c r="L18" s="11" t="s">
        <v>30</v>
      </c>
      <c r="M18" s="11" t="s">
        <v>72</v>
      </c>
      <c r="N18" s="11" t="s">
        <v>47</v>
      </c>
      <c r="O18" s="12"/>
      <c r="P18" s="13" t="s">
        <v>108</v>
      </c>
      <c r="Q18" s="13" t="s">
        <v>75</v>
      </c>
      <c r="R18" s="13" t="s">
        <v>60</v>
      </c>
      <c r="S18" s="13"/>
      <c r="T18" s="13"/>
      <c r="U18" s="13" t="s">
        <v>60</v>
      </c>
      <c r="V18" s="13" t="s">
        <v>76</v>
      </c>
      <c r="W18" s="13" t="s">
        <v>77</v>
      </c>
      <c r="X18" s="13"/>
      <c r="Y18" s="13"/>
      <c r="Z18" s="14" t="s">
        <v>35</v>
      </c>
    </row>
    <row r="19" customFormat="false" ht="39.75" hidden="false" customHeight="true" outlineLevel="0" collapsed="false">
      <c r="A19" s="4" t="s">
        <v>109</v>
      </c>
      <c r="B19" s="5" t="s">
        <v>110</v>
      </c>
      <c r="C19" s="15" t="s">
        <v>38</v>
      </c>
      <c r="D19" s="16" t="s">
        <v>46</v>
      </c>
      <c r="E19" s="8" t="n">
        <v>45969.4166666667</v>
      </c>
      <c r="F19" s="8" t="n">
        <v>45975.4166666667</v>
      </c>
      <c r="G19" s="9" t="n">
        <f aca="false">IF(OR(E19="",F19=""),"",INT(F19-E19))</f>
        <v>6</v>
      </c>
      <c r="H19" s="5"/>
      <c r="I19" s="5"/>
      <c r="J19" s="5" t="n">
        <v>0</v>
      </c>
      <c r="K19" s="5"/>
      <c r="L19" s="11" t="s">
        <v>30</v>
      </c>
      <c r="M19" s="11" t="s">
        <v>72</v>
      </c>
      <c r="N19" s="11" t="s">
        <v>32</v>
      </c>
      <c r="O19" s="12" t="s">
        <v>38</v>
      </c>
      <c r="P19" s="13" t="s">
        <v>111</v>
      </c>
      <c r="Q19" s="13" t="s">
        <v>54</v>
      </c>
      <c r="R19" s="13" t="s">
        <v>60</v>
      </c>
      <c r="S19" s="13"/>
      <c r="T19" s="13"/>
      <c r="U19" s="13" t="s">
        <v>43</v>
      </c>
      <c r="V19" s="13" t="s">
        <v>76</v>
      </c>
      <c r="W19" s="13" t="s">
        <v>77</v>
      </c>
      <c r="X19" s="13"/>
      <c r="Y19" s="13"/>
      <c r="Z19" s="14" t="s">
        <v>35</v>
      </c>
    </row>
    <row r="20" customFormat="false" ht="19.5" hidden="false" customHeight="true" outlineLevel="0" collapsed="false">
      <c r="A20" s="4" t="s">
        <v>112</v>
      </c>
      <c r="B20" s="5" t="s">
        <v>113</v>
      </c>
      <c r="C20" s="6" t="s">
        <v>28</v>
      </c>
      <c r="D20" s="16" t="s">
        <v>46</v>
      </c>
      <c r="E20" s="8" t="n">
        <v>45965.4166666667</v>
      </c>
      <c r="F20" s="5"/>
      <c r="G20" s="9" t="str">
        <f aca="false">IF(OR(E20="",F20=""),"",INT(F20-E20))</f>
        <v/>
      </c>
      <c r="H20" s="5"/>
      <c r="I20" s="5"/>
      <c r="J20" s="5" t="n">
        <v>0</v>
      </c>
      <c r="K20" s="5"/>
      <c r="L20" s="11" t="s">
        <v>30</v>
      </c>
      <c r="M20" s="11" t="s">
        <v>72</v>
      </c>
      <c r="N20" s="11" t="s">
        <v>32</v>
      </c>
      <c r="O20" s="12"/>
      <c r="P20" s="13" t="s">
        <v>114</v>
      </c>
      <c r="Q20" s="13" t="s">
        <v>54</v>
      </c>
      <c r="R20" s="13" t="s">
        <v>60</v>
      </c>
      <c r="S20" s="13"/>
      <c r="T20" s="13"/>
      <c r="U20" s="13" t="s">
        <v>60</v>
      </c>
      <c r="V20" s="13" t="s">
        <v>76</v>
      </c>
      <c r="W20" s="13" t="s">
        <v>77</v>
      </c>
      <c r="X20" s="13"/>
      <c r="Y20" s="13"/>
      <c r="Z20" s="14" t="s">
        <v>35</v>
      </c>
    </row>
    <row r="21" customFormat="false" ht="39.75" hidden="false" customHeight="true" outlineLevel="0" collapsed="false">
      <c r="A21" s="4" t="s">
        <v>115</v>
      </c>
      <c r="B21" s="5" t="s">
        <v>116</v>
      </c>
      <c r="C21" s="15" t="s">
        <v>38</v>
      </c>
      <c r="D21" s="16" t="s">
        <v>46</v>
      </c>
      <c r="E21" s="8" t="n">
        <v>45952.4166666667</v>
      </c>
      <c r="F21" s="8" t="n">
        <v>45957.4166666667</v>
      </c>
      <c r="G21" s="9" t="n">
        <f aca="false">IF(OR(E21="",F21=""),"",INT(F21-E21))</f>
        <v>5</v>
      </c>
      <c r="H21" s="5"/>
      <c r="I21" s="5"/>
      <c r="J21" s="5" t="n">
        <v>0</v>
      </c>
      <c r="K21" s="5"/>
      <c r="L21" s="11" t="s">
        <v>30</v>
      </c>
      <c r="M21" s="11" t="s">
        <v>72</v>
      </c>
      <c r="N21" s="11" t="s">
        <v>47</v>
      </c>
      <c r="O21" s="12" t="s">
        <v>38</v>
      </c>
      <c r="P21" s="13" t="s">
        <v>117</v>
      </c>
      <c r="Q21" s="13" t="s">
        <v>54</v>
      </c>
      <c r="R21" s="13" t="s">
        <v>43</v>
      </c>
      <c r="S21" s="13"/>
      <c r="T21" s="13"/>
      <c r="U21" s="13" t="s">
        <v>43</v>
      </c>
      <c r="V21" s="13" t="s">
        <v>76</v>
      </c>
      <c r="W21" s="13" t="s">
        <v>77</v>
      </c>
      <c r="X21" s="13"/>
      <c r="Y21" s="13"/>
      <c r="Z21" s="14" t="s">
        <v>35</v>
      </c>
    </row>
    <row r="22" customFormat="false" ht="39.75" hidden="false" customHeight="true" outlineLevel="0" collapsed="false">
      <c r="A22" s="4" t="s">
        <v>118</v>
      </c>
      <c r="B22" s="5" t="s">
        <v>119</v>
      </c>
      <c r="C22" s="15" t="s">
        <v>38</v>
      </c>
      <c r="D22" s="16" t="s">
        <v>46</v>
      </c>
      <c r="E22" s="8" t="n">
        <v>46017.4166666667</v>
      </c>
      <c r="F22" s="8" t="n">
        <v>46022.4166666667</v>
      </c>
      <c r="G22" s="9" t="n">
        <f aca="false">IF(OR(E22="",F22=""),"",INT(F22-E22))</f>
        <v>5</v>
      </c>
      <c r="H22" s="5"/>
      <c r="I22" s="5"/>
      <c r="J22" s="5" t="n">
        <v>0</v>
      </c>
      <c r="K22" s="5"/>
      <c r="L22" s="11" t="s">
        <v>30</v>
      </c>
      <c r="M22" s="11" t="s">
        <v>31</v>
      </c>
      <c r="N22" s="11" t="s">
        <v>32</v>
      </c>
      <c r="O22" s="12" t="s">
        <v>38</v>
      </c>
      <c r="P22" s="13" t="s">
        <v>120</v>
      </c>
      <c r="Q22" s="13" t="s">
        <v>54</v>
      </c>
      <c r="R22" s="13" t="s">
        <v>43</v>
      </c>
      <c r="S22" s="13"/>
      <c r="T22" s="13"/>
      <c r="U22" s="13" t="s">
        <v>43</v>
      </c>
      <c r="V22" s="13" t="s">
        <v>33</v>
      </c>
      <c r="W22" s="13" t="s">
        <v>34</v>
      </c>
      <c r="X22" s="13"/>
      <c r="Y22" s="13"/>
      <c r="Z22" s="14" t="s">
        <v>35</v>
      </c>
    </row>
    <row r="23" customFormat="false" ht="19.5" hidden="false" customHeight="true" outlineLevel="0" collapsed="false">
      <c r="A23" s="4" t="s">
        <v>121</v>
      </c>
      <c r="B23" s="5" t="s">
        <v>122</v>
      </c>
      <c r="C23" s="6" t="s">
        <v>28</v>
      </c>
      <c r="D23" s="16" t="s">
        <v>46</v>
      </c>
      <c r="E23" s="8" t="n">
        <v>46007.4166666667</v>
      </c>
      <c r="F23" s="5"/>
      <c r="G23" s="9" t="str">
        <f aca="false">IF(OR(E23="",F23=""),"",INT(F23-E23))</f>
        <v/>
      </c>
      <c r="H23" s="5"/>
      <c r="I23" s="5"/>
      <c r="J23" s="5" t="n">
        <v>0</v>
      </c>
      <c r="K23" s="5"/>
      <c r="L23" s="11" t="s">
        <v>30</v>
      </c>
      <c r="M23" s="11" t="s">
        <v>31</v>
      </c>
      <c r="N23" s="11" t="s">
        <v>32</v>
      </c>
      <c r="O23" s="12"/>
      <c r="P23" s="13" t="s">
        <v>123</v>
      </c>
      <c r="Q23" s="13" t="s">
        <v>54</v>
      </c>
      <c r="R23" s="13" t="s">
        <v>60</v>
      </c>
      <c r="S23" s="13"/>
      <c r="T23" s="13"/>
      <c r="U23" s="13" t="s">
        <v>60</v>
      </c>
      <c r="V23" s="13" t="s">
        <v>33</v>
      </c>
      <c r="W23" s="13" t="s">
        <v>34</v>
      </c>
      <c r="X23" s="13"/>
      <c r="Y23" s="13"/>
      <c r="Z23" s="14" t="s">
        <v>35</v>
      </c>
    </row>
    <row r="24" customFormat="false" ht="39.75" hidden="false" customHeight="true" outlineLevel="0" collapsed="false">
      <c r="A24" s="4" t="s">
        <v>124</v>
      </c>
      <c r="B24" s="5" t="s">
        <v>125</v>
      </c>
      <c r="C24" s="15" t="s">
        <v>38</v>
      </c>
      <c r="D24" s="16" t="s">
        <v>46</v>
      </c>
      <c r="E24" s="8" t="n">
        <v>45992.4166666667</v>
      </c>
      <c r="F24" s="8" t="n">
        <v>45997.4166666667</v>
      </c>
      <c r="G24" s="9" t="n">
        <f aca="false">IF(OR(E24="",F24=""),"",INT(F24-E24))</f>
        <v>5</v>
      </c>
      <c r="H24" s="5"/>
      <c r="I24" s="5"/>
      <c r="J24" s="5" t="n">
        <v>0</v>
      </c>
      <c r="K24" s="5"/>
      <c r="L24" s="11" t="s">
        <v>30</v>
      </c>
      <c r="M24" s="11" t="s">
        <v>31</v>
      </c>
      <c r="N24" s="11" t="s">
        <v>47</v>
      </c>
      <c r="O24" s="12" t="s">
        <v>38</v>
      </c>
      <c r="P24" s="13" t="s">
        <v>126</v>
      </c>
      <c r="Q24" s="13" t="s">
        <v>54</v>
      </c>
      <c r="R24" s="13" t="s">
        <v>43</v>
      </c>
      <c r="S24" s="13"/>
      <c r="T24" s="13"/>
      <c r="U24" s="13" t="s">
        <v>43</v>
      </c>
      <c r="V24" s="13" t="s">
        <v>33</v>
      </c>
      <c r="W24" s="13" t="s">
        <v>34</v>
      </c>
      <c r="X24" s="13" t="s">
        <v>127</v>
      </c>
      <c r="Y24" s="13"/>
      <c r="Z24" s="14" t="s">
        <v>35</v>
      </c>
    </row>
    <row r="25" customFormat="false" ht="19.5" hidden="false" customHeight="true" outlineLevel="0" collapsed="false">
      <c r="A25" s="4" t="s">
        <v>128</v>
      </c>
      <c r="B25" s="5" t="s">
        <v>129</v>
      </c>
      <c r="C25" s="18" t="s">
        <v>84</v>
      </c>
      <c r="D25" s="19" t="s">
        <v>130</v>
      </c>
      <c r="E25" s="8" t="n">
        <v>46042.4166666667</v>
      </c>
      <c r="F25" s="5"/>
      <c r="G25" s="9" t="str">
        <f aca="false">IF(OR(E25="",F25=""),"",INT(F25-E25))</f>
        <v/>
      </c>
      <c r="H25" s="5"/>
      <c r="I25" s="5"/>
      <c r="J25" s="5" t="n">
        <v>0</v>
      </c>
      <c r="K25" s="5"/>
      <c r="L25" s="11" t="s">
        <v>30</v>
      </c>
      <c r="M25" s="11" t="s">
        <v>63</v>
      </c>
      <c r="N25" s="11" t="s">
        <v>92</v>
      </c>
      <c r="O25" s="12"/>
      <c r="P25" s="13" t="s">
        <v>131</v>
      </c>
      <c r="Q25" s="13" t="s">
        <v>86</v>
      </c>
      <c r="R25" s="13" t="s">
        <v>60</v>
      </c>
      <c r="S25" s="13"/>
      <c r="T25" s="13"/>
      <c r="U25" s="13" t="s">
        <v>60</v>
      </c>
      <c r="V25" s="13" t="s">
        <v>65</v>
      </c>
      <c r="W25" s="13" t="s">
        <v>66</v>
      </c>
      <c r="X25" s="13"/>
      <c r="Y25" s="13"/>
      <c r="Z25" s="14" t="s">
        <v>35</v>
      </c>
    </row>
    <row r="26" customFormat="false" ht="19.5" hidden="false" customHeight="true" outlineLevel="0" collapsed="false">
      <c r="A26" s="4" t="s">
        <v>132</v>
      </c>
      <c r="B26" s="5" t="s">
        <v>133</v>
      </c>
      <c r="C26" s="18" t="s">
        <v>84</v>
      </c>
      <c r="D26" s="19" t="s">
        <v>130</v>
      </c>
      <c r="E26" s="8" t="n">
        <v>45995.4166666667</v>
      </c>
      <c r="F26" s="5"/>
      <c r="G26" s="9" t="str">
        <f aca="false">IF(OR(E26="",F26=""),"",INT(F26-E26))</f>
        <v/>
      </c>
      <c r="H26" s="5"/>
      <c r="I26" s="5"/>
      <c r="J26" s="5" t="n">
        <v>0</v>
      </c>
      <c r="K26" s="5"/>
      <c r="L26" s="11" t="s">
        <v>30</v>
      </c>
      <c r="M26" s="11" t="s">
        <v>63</v>
      </c>
      <c r="N26" s="11" t="s">
        <v>39</v>
      </c>
      <c r="O26" s="12"/>
      <c r="P26" s="13" t="s">
        <v>134</v>
      </c>
      <c r="Q26" s="13" t="s">
        <v>42</v>
      </c>
      <c r="R26" s="13" t="s">
        <v>60</v>
      </c>
      <c r="S26" s="13"/>
      <c r="T26" s="13"/>
      <c r="U26" s="13" t="s">
        <v>60</v>
      </c>
      <c r="V26" s="13" t="s">
        <v>65</v>
      </c>
      <c r="W26" s="13" t="s">
        <v>66</v>
      </c>
      <c r="X26" s="13"/>
      <c r="Y26" s="13"/>
      <c r="Z26" s="14" t="s">
        <v>35</v>
      </c>
    </row>
    <row r="27" customFormat="false" ht="19.5" hidden="false" customHeight="true" outlineLevel="0" collapsed="false">
      <c r="A27" s="4" t="s">
        <v>135</v>
      </c>
      <c r="B27" s="5" t="s">
        <v>136</v>
      </c>
      <c r="C27" s="18" t="s">
        <v>84</v>
      </c>
      <c r="D27" s="19" t="s">
        <v>130</v>
      </c>
      <c r="E27" s="8" t="n">
        <v>46062.4166666667</v>
      </c>
      <c r="F27" s="5"/>
      <c r="G27" s="9" t="str">
        <f aca="false">IF(OR(E27="",F27=""),"",INT(F27-E27))</f>
        <v/>
      </c>
      <c r="H27" s="5"/>
      <c r="I27" s="5"/>
      <c r="J27" s="5" t="n">
        <v>0</v>
      </c>
      <c r="K27" s="5"/>
      <c r="L27" s="11" t="s">
        <v>30</v>
      </c>
      <c r="M27" s="11" t="s">
        <v>72</v>
      </c>
      <c r="N27" s="11" t="s">
        <v>32</v>
      </c>
      <c r="O27" s="12"/>
      <c r="P27" s="13" t="s">
        <v>137</v>
      </c>
      <c r="Q27" s="13" t="s">
        <v>54</v>
      </c>
      <c r="R27" s="13" t="s">
        <v>60</v>
      </c>
      <c r="S27" s="13"/>
      <c r="T27" s="13"/>
      <c r="U27" s="13" t="s">
        <v>60</v>
      </c>
      <c r="V27" s="13" t="s">
        <v>76</v>
      </c>
      <c r="W27" s="13" t="s">
        <v>77</v>
      </c>
      <c r="X27" s="13"/>
      <c r="Y27" s="13"/>
      <c r="Z27" s="14" t="s">
        <v>35</v>
      </c>
    </row>
    <row r="28" customFormat="false" ht="19.5" hidden="false" customHeight="true" outlineLevel="0" collapsed="false">
      <c r="A28" s="4" t="s">
        <v>138</v>
      </c>
      <c r="B28" s="5" t="s">
        <v>139</v>
      </c>
      <c r="C28" s="18" t="s">
        <v>84</v>
      </c>
      <c r="D28" s="19" t="s">
        <v>130</v>
      </c>
      <c r="E28" s="8" t="n">
        <v>46002.4166666667</v>
      </c>
      <c r="F28" s="5"/>
      <c r="G28" s="9" t="str">
        <f aca="false">IF(OR(E28="",F28=""),"",INT(F28-E28))</f>
        <v/>
      </c>
      <c r="H28" s="5"/>
      <c r="I28" s="5"/>
      <c r="J28" s="5" t="n">
        <v>0</v>
      </c>
      <c r="K28" s="5"/>
      <c r="L28" s="11" t="s">
        <v>30</v>
      </c>
      <c r="M28" s="11" t="s">
        <v>72</v>
      </c>
      <c r="N28" s="11" t="s">
        <v>140</v>
      </c>
      <c r="O28" s="12"/>
      <c r="P28" s="13" t="s">
        <v>141</v>
      </c>
      <c r="Q28" s="13" t="s">
        <v>54</v>
      </c>
      <c r="R28" s="13" t="s">
        <v>60</v>
      </c>
      <c r="S28" s="13"/>
      <c r="T28" s="13"/>
      <c r="U28" s="13" t="s">
        <v>60</v>
      </c>
      <c r="V28" s="13" t="s">
        <v>76</v>
      </c>
      <c r="W28" s="13" t="s">
        <v>77</v>
      </c>
      <c r="X28" s="13"/>
      <c r="Y28" s="13"/>
      <c r="Z28" s="14" t="s">
        <v>35</v>
      </c>
    </row>
    <row r="29" customFormat="false" ht="19.5" hidden="false" customHeight="true" outlineLevel="0" collapsed="false">
      <c r="A29" s="4" t="s">
        <v>142</v>
      </c>
      <c r="B29" s="5" t="s">
        <v>143</v>
      </c>
      <c r="C29" s="6" t="s">
        <v>28</v>
      </c>
      <c r="D29" s="19" t="s">
        <v>130</v>
      </c>
      <c r="E29" s="8" t="n">
        <v>46037.4166666667</v>
      </c>
      <c r="F29" s="5"/>
      <c r="G29" s="9" t="str">
        <f aca="false">IF(OR(E29="",F29=""),"",INT(F29-E29))</f>
        <v/>
      </c>
      <c r="H29" s="5"/>
      <c r="I29" s="5"/>
      <c r="J29" s="5" t="n">
        <v>0</v>
      </c>
      <c r="K29" s="5"/>
      <c r="L29" s="11" t="s">
        <v>30</v>
      </c>
      <c r="M29" s="11" t="s">
        <v>31</v>
      </c>
      <c r="N29" s="11" t="s">
        <v>32</v>
      </c>
      <c r="O29" s="12"/>
      <c r="P29" s="13"/>
      <c r="Q29" s="13"/>
      <c r="R29" s="13"/>
      <c r="S29" s="13"/>
      <c r="T29" s="13"/>
      <c r="U29" s="13"/>
      <c r="V29" s="13" t="s">
        <v>33</v>
      </c>
      <c r="W29" s="13" t="s">
        <v>34</v>
      </c>
      <c r="X29" s="13"/>
      <c r="Y29" s="13"/>
      <c r="Z29" s="14" t="s">
        <v>35</v>
      </c>
    </row>
    <row r="30" customFormat="false" ht="19.5" hidden="false" customHeight="true" outlineLevel="0" collapsed="false">
      <c r="A30" s="4" t="s">
        <v>144</v>
      </c>
      <c r="B30" s="5" t="s">
        <v>145</v>
      </c>
      <c r="C30" s="18" t="s">
        <v>84</v>
      </c>
      <c r="D30" s="19" t="s">
        <v>130</v>
      </c>
      <c r="E30" s="8" t="n">
        <v>45962.4166666667</v>
      </c>
      <c r="F30" s="5"/>
      <c r="G30" s="9" t="str">
        <f aca="false">IF(OR(E30="",F30=""),"",INT(F30-E30))</f>
        <v/>
      </c>
      <c r="H30" s="5"/>
      <c r="I30" s="5"/>
      <c r="J30" s="5" t="n">
        <v>0</v>
      </c>
      <c r="K30" s="5"/>
      <c r="L30" s="11" t="s">
        <v>30</v>
      </c>
      <c r="M30" s="11" t="s">
        <v>31</v>
      </c>
      <c r="N30" s="11" t="s">
        <v>57</v>
      </c>
      <c r="O30" s="12"/>
      <c r="P30" s="13" t="s">
        <v>146</v>
      </c>
      <c r="Q30" s="13" t="s">
        <v>54</v>
      </c>
      <c r="R30" s="13" t="s">
        <v>43</v>
      </c>
      <c r="S30" s="13"/>
      <c r="T30" s="13"/>
      <c r="U30" s="13" t="s">
        <v>60</v>
      </c>
      <c r="V30" s="13" t="s">
        <v>33</v>
      </c>
      <c r="W30" s="13" t="s">
        <v>34</v>
      </c>
      <c r="X30" s="13"/>
      <c r="Y30" s="13"/>
      <c r="Z30" s="14" t="s">
        <v>35</v>
      </c>
    </row>
    <row r="31" customFormat="false" ht="19.5" hidden="false" customHeight="true" outlineLevel="0" collapsed="false">
      <c r="A31" s="4" t="s">
        <v>147</v>
      </c>
      <c r="B31" s="5" t="s">
        <v>148</v>
      </c>
      <c r="C31" s="6" t="s">
        <v>28</v>
      </c>
      <c r="D31" s="19" t="s">
        <v>130</v>
      </c>
      <c r="E31" s="8" t="n">
        <v>45957.4166666667</v>
      </c>
      <c r="F31" s="5"/>
      <c r="G31" s="9" t="str">
        <f aca="false">IF(OR(E31="",F31=""),"",INT(F31-E31))</f>
        <v/>
      </c>
      <c r="H31" s="5"/>
      <c r="I31" s="5"/>
      <c r="J31" s="5" t="n">
        <v>0</v>
      </c>
      <c r="K31" s="5"/>
      <c r="L31" s="11" t="s">
        <v>30</v>
      </c>
      <c r="M31" s="11" t="s">
        <v>31</v>
      </c>
      <c r="N31" s="11" t="s">
        <v>32</v>
      </c>
      <c r="O31" s="12"/>
      <c r="P31" s="13" t="s">
        <v>149</v>
      </c>
      <c r="Q31" s="13" t="s">
        <v>54</v>
      </c>
      <c r="R31" s="13" t="s">
        <v>60</v>
      </c>
      <c r="S31" s="13"/>
      <c r="T31" s="13"/>
      <c r="U31" s="13" t="s">
        <v>60</v>
      </c>
      <c r="V31" s="13" t="s">
        <v>33</v>
      </c>
      <c r="W31" s="13" t="s">
        <v>34</v>
      </c>
      <c r="X31" s="13" t="s">
        <v>150</v>
      </c>
      <c r="Y31" s="13"/>
      <c r="Z31" s="14" t="s">
        <v>35</v>
      </c>
    </row>
  </sheetData>
  <dataValidations count="5">
    <dataValidation allowBlank="true" errorStyle="stop" operator="between" showDropDown="false" showErrorMessage="false" showInputMessage="false" sqref="Q2:Q81" type="list">
      <formula1>"Código,Banco de Dados,Infraestrutura,Terceiros"</formula1>
      <formula2>0</formula2>
    </dataValidation>
    <dataValidation allowBlank="true" errorStyle="stop" operator="between" showDropDown="false" showErrorMessage="false" showInputMessage="false" sqref="R2:R81" type="list">
      <formula1>"Sim,Não"</formula1>
      <formula2>0</formula2>
    </dataValidation>
    <dataValidation allowBlank="true" errorStyle="stop" operator="between" showDropDown="false" showErrorMessage="false" showInputMessage="false" sqref="S2:S81" type="list">
      <formula1>"Detectou problema,Não detectou,Não se Aplica"</formula1>
      <formula2>0</formula2>
    </dataValidation>
    <dataValidation allowBlank="true" errorStyle="stop" operator="between" showDropDown="false" showErrorMessage="false" showInputMessage="false" sqref="U2:U81" type="list">
      <formula1>"Sim,Não"</formula1>
      <formula2>0</formula2>
    </dataValidation>
    <dataValidation allowBlank="true" errorStyle="stop" operator="between" showDropDown="false" showErrorMessage="false" showInputMessage="false" sqref="Z2:Z81" type="list">
      <formula1>"Sim,Não"</formula1>
      <formula2>0</formula2>
    </dataValidation>
  </dataValidations>
  <hyperlinks>
    <hyperlink ref="A2" r:id="rId1" display="MODAJOI-99199"/>
    <hyperlink ref="A3" r:id="rId2" display="MODAJOI-98089"/>
    <hyperlink ref="A4" r:id="rId3" display="MODAJOI-98001"/>
    <hyperlink ref="A5" r:id="rId4" display="MODAJOI-98178"/>
    <hyperlink ref="A6" r:id="rId5" display="MODAJOI-98045"/>
    <hyperlink ref="A7" r:id="rId6" display="MODAJOI-98667"/>
    <hyperlink ref="A8" r:id="rId7" display="MODAJOI-98578"/>
    <hyperlink ref="A9" r:id="rId8" display="MODAJOI-98267"/>
    <hyperlink ref="A10" r:id="rId9" display="MODAJOI-99287"/>
    <hyperlink ref="A11" r:id="rId10" display="MODAJOI-99154"/>
    <hyperlink ref="A12" r:id="rId11" display="MODAJOI-98889"/>
    <hyperlink ref="A13" r:id="rId12" display="MODAJOI-98622"/>
    <hyperlink ref="A14" r:id="rId13" display="MODAJOI-98534"/>
    <hyperlink ref="A15" r:id="rId14" display="MODAJOI-98489"/>
    <hyperlink ref="A16" r:id="rId15" display="MODAJOI-99110"/>
    <hyperlink ref="A17" r:id="rId16" display="MODAJOI-98977"/>
    <hyperlink ref="A18" r:id="rId17" display="MODAJOI-98445"/>
    <hyperlink ref="A19" r:id="rId18" display="MODAJOI-98401"/>
    <hyperlink ref="A20" r:id="rId19" display="MODAJOI-98356"/>
    <hyperlink ref="A21" r:id="rId20" display="MODAJOI-98312"/>
    <hyperlink ref="A22" r:id="rId21" display="MODAJOI-98933"/>
    <hyperlink ref="A23" r:id="rId22" display="MODAJOI-98800"/>
    <hyperlink ref="A24" r:id="rId23" display="MODAJOI-98756"/>
    <hyperlink ref="A25" r:id="rId24" display="MODAJOI-99021"/>
    <hyperlink ref="A26" r:id="rId25" display="MODAJOI-98711"/>
    <hyperlink ref="A27" r:id="rId26" display="MODAJOI-99243"/>
    <hyperlink ref="A28" r:id="rId27" display="MODAJOI-98844"/>
    <hyperlink ref="A29" r:id="rId28" display="MODAJOI-99066"/>
    <hyperlink ref="A30" r:id="rId29" display="MODAJOI-98223"/>
    <hyperlink ref="A31" r:id="rId30" display="MODAJOI-9813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3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4" min="3" style="0" width="22"/>
    <col collapsed="false" customWidth="true" hidden="false" outlineLevel="0" max="5" min="5" style="0" width="45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31.5" hidden="false" customHeight="true" outlineLevel="0" collapsed="false">
      <c r="A1" s="20" t="s">
        <v>151</v>
      </c>
      <c r="B1" s="20" t="s">
        <v>152</v>
      </c>
      <c r="C1" s="20" t="s">
        <v>153</v>
      </c>
      <c r="D1" s="20" t="s">
        <v>12</v>
      </c>
      <c r="E1" s="20" t="s">
        <v>154</v>
      </c>
      <c r="F1" s="20" t="s">
        <v>155</v>
      </c>
      <c r="G1" s="20" t="s">
        <v>156</v>
      </c>
      <c r="H1" s="20" t="s">
        <v>157</v>
      </c>
    </row>
    <row r="2" customFormat="false" ht="19.5" hidden="false" customHeight="true" outlineLevel="0" collapsed="false">
      <c r="A2" s="21" t="s">
        <v>127</v>
      </c>
      <c r="B2" s="22" t="s">
        <v>124</v>
      </c>
      <c r="C2" s="23" t="s">
        <v>158</v>
      </c>
      <c r="D2" s="23" t="s">
        <v>159</v>
      </c>
      <c r="E2" s="23" t="s">
        <v>160</v>
      </c>
      <c r="F2" s="24" t="n">
        <v>46037</v>
      </c>
      <c r="G2" s="23"/>
      <c r="H2" s="25"/>
    </row>
    <row r="3" customFormat="false" ht="19.5" hidden="false" customHeight="true" outlineLevel="0" collapsed="false">
      <c r="A3" s="21" t="s">
        <v>150</v>
      </c>
      <c r="B3" s="22" t="s">
        <v>147</v>
      </c>
      <c r="C3" s="23" t="s">
        <v>158</v>
      </c>
      <c r="D3" s="23" t="s">
        <v>161</v>
      </c>
      <c r="E3" s="23" t="s">
        <v>162</v>
      </c>
      <c r="F3" s="23"/>
      <c r="G3" s="23"/>
      <c r="H3" s="25"/>
    </row>
    <row r="4" customFormat="false" ht="19.5" hidden="false" customHeight="true" outlineLevel="0" collapsed="false">
      <c r="A4" s="26"/>
      <c r="B4" s="26"/>
      <c r="C4" s="26"/>
      <c r="D4" s="26"/>
      <c r="E4" s="26"/>
      <c r="F4" s="26"/>
      <c r="G4" s="26"/>
      <c r="H4" s="26"/>
    </row>
    <row r="5" customFormat="false" ht="19.5" hidden="false" customHeight="true" outlineLevel="0" collapsed="false">
      <c r="A5" s="26"/>
      <c r="B5" s="26"/>
      <c r="C5" s="26"/>
      <c r="D5" s="26"/>
      <c r="E5" s="26"/>
      <c r="F5" s="26"/>
      <c r="G5" s="26"/>
      <c r="H5" s="26"/>
    </row>
    <row r="6" customFormat="false" ht="19.5" hidden="false" customHeight="true" outlineLevel="0" collapsed="false">
      <c r="A6" s="26"/>
      <c r="B6" s="26"/>
      <c r="C6" s="26"/>
      <c r="D6" s="26"/>
      <c r="E6" s="26"/>
      <c r="F6" s="26"/>
      <c r="G6" s="26"/>
      <c r="H6" s="26"/>
    </row>
    <row r="7" customFormat="false" ht="19.5" hidden="false" customHeight="true" outlineLevel="0" collapsed="false">
      <c r="A7" s="26"/>
      <c r="B7" s="26"/>
      <c r="C7" s="26"/>
      <c r="D7" s="26"/>
      <c r="E7" s="26"/>
      <c r="F7" s="26"/>
      <c r="G7" s="26"/>
      <c r="H7" s="26"/>
    </row>
    <row r="8" customFormat="false" ht="19.5" hidden="false" customHeight="true" outlineLevel="0" collapsed="false">
      <c r="A8" s="26"/>
      <c r="B8" s="26"/>
      <c r="C8" s="26"/>
      <c r="D8" s="26"/>
      <c r="E8" s="26"/>
      <c r="F8" s="26"/>
      <c r="G8" s="26"/>
      <c r="H8" s="26"/>
    </row>
    <row r="9" customFormat="false" ht="19.5" hidden="false" customHeight="true" outlineLevel="0" collapsed="false">
      <c r="A9" s="26"/>
      <c r="B9" s="26"/>
      <c r="C9" s="26"/>
      <c r="D9" s="26"/>
      <c r="E9" s="26"/>
      <c r="F9" s="26"/>
      <c r="G9" s="26"/>
      <c r="H9" s="26"/>
    </row>
    <row r="10" customFormat="false" ht="19.5" hidden="false" customHeight="true" outlineLevel="0" collapsed="false">
      <c r="A10" s="26"/>
      <c r="B10" s="26"/>
      <c r="C10" s="26"/>
      <c r="D10" s="26"/>
      <c r="E10" s="26"/>
      <c r="F10" s="26"/>
      <c r="G10" s="26"/>
      <c r="H10" s="26"/>
    </row>
    <row r="11" customFormat="false" ht="19.5" hidden="false" customHeight="true" outlineLevel="0" collapsed="false">
      <c r="A11" s="26"/>
      <c r="B11" s="26"/>
      <c r="C11" s="26"/>
      <c r="D11" s="26"/>
      <c r="E11" s="26"/>
      <c r="F11" s="26"/>
      <c r="G11" s="26"/>
      <c r="H11" s="26"/>
    </row>
    <row r="12" customFormat="false" ht="19.5" hidden="false" customHeight="true" outlineLevel="0" collapsed="false">
      <c r="A12" s="26"/>
      <c r="B12" s="26"/>
      <c r="C12" s="26"/>
      <c r="D12" s="26"/>
      <c r="E12" s="26"/>
      <c r="F12" s="26"/>
      <c r="G12" s="26"/>
      <c r="H12" s="26"/>
    </row>
    <row r="13" customFormat="false" ht="19.5" hidden="false" customHeight="true" outlineLevel="0" collapsed="false">
      <c r="A13" s="26"/>
      <c r="B13" s="26"/>
      <c r="C13" s="26"/>
      <c r="D13" s="26"/>
      <c r="E13" s="26"/>
      <c r="F13" s="26"/>
      <c r="G13" s="26"/>
      <c r="H13" s="26"/>
    </row>
    <row r="14" customFormat="false" ht="19.5" hidden="false" customHeight="true" outlineLevel="0" collapsed="false">
      <c r="A14" s="26"/>
      <c r="B14" s="26"/>
      <c r="C14" s="26"/>
      <c r="D14" s="26"/>
      <c r="E14" s="26"/>
      <c r="F14" s="26"/>
      <c r="G14" s="26"/>
      <c r="H14" s="26"/>
    </row>
  </sheetData>
  <dataValidations count="2">
    <dataValidation allowBlank="true" errorStyle="stop" operator="between" showDropDown="false" showErrorMessage="false" showInputMessage="false" sqref="F2:F53" type="list">
      <formula1>"Análise,Andamento,Bloqueado,Concluído"</formula1>
      <formula2>0</formula2>
    </dataValidation>
    <dataValidation allowBlank="true" errorStyle="stop" operator="between" showDropDown="false" showErrorMessage="false" showInputMessage="false" sqref="D2:D53" type="list">
      <formula1>"FFC,FatInt,SupCrmImp,RC"</formula1>
      <formula2>0</formula2>
    </dataValidation>
  </dataValidations>
  <hyperlinks>
    <hyperlink ref="B2" r:id="rId1" display="MODAJOI-98756"/>
    <hyperlink ref="B3" r:id="rId2" display="MODAJOI-9813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8"/>
    <col collapsed="false" customWidth="true" hidden="false" outlineLevel="0" max="6" min="2" style="0" width="22"/>
  </cols>
  <sheetData>
    <row r="1" customFormat="false" ht="31.5" hidden="false" customHeight="true" outlineLevel="0" collapsed="false">
      <c r="A1" s="20" t="s">
        <v>11</v>
      </c>
      <c r="B1" s="20" t="s">
        <v>12</v>
      </c>
      <c r="C1" s="20" t="s">
        <v>21</v>
      </c>
      <c r="D1" s="20" t="s">
        <v>163</v>
      </c>
      <c r="E1" s="20" t="s">
        <v>22</v>
      </c>
      <c r="F1" s="20" t="s">
        <v>164</v>
      </c>
    </row>
    <row r="2" customFormat="false" ht="15" hidden="false" customHeight="false" outlineLevel="0" collapsed="false">
      <c r="A2" s="27" t="s">
        <v>30</v>
      </c>
      <c r="B2" s="27" t="s">
        <v>31</v>
      </c>
      <c r="C2" s="27" t="s">
        <v>33</v>
      </c>
      <c r="D2" s="27" t="s">
        <v>65</v>
      </c>
      <c r="E2" s="27" t="s">
        <v>34</v>
      </c>
      <c r="F2" s="27" t="s">
        <v>77</v>
      </c>
    </row>
    <row r="3" customFormat="false" ht="15" hidden="false" customHeight="false" outlineLevel="0" collapsed="false">
      <c r="A3" s="28" t="s">
        <v>30</v>
      </c>
      <c r="B3" s="28" t="s">
        <v>72</v>
      </c>
      <c r="C3" s="28" t="s">
        <v>76</v>
      </c>
      <c r="D3" s="28" t="s">
        <v>65</v>
      </c>
      <c r="E3" s="28" t="s">
        <v>77</v>
      </c>
      <c r="F3" s="28" t="s">
        <v>165</v>
      </c>
    </row>
    <row r="4" customFormat="false" ht="15" hidden="false" customHeight="false" outlineLevel="0" collapsed="false">
      <c r="A4" s="27" t="s">
        <v>30</v>
      </c>
      <c r="B4" s="27" t="s">
        <v>63</v>
      </c>
      <c r="C4" s="27" t="s">
        <v>65</v>
      </c>
      <c r="D4" s="27" t="s">
        <v>33</v>
      </c>
      <c r="E4" s="27" t="s">
        <v>66</v>
      </c>
      <c r="F4" s="27" t="s">
        <v>166</v>
      </c>
    </row>
    <row r="5" customFormat="false" ht="15" hidden="false" customHeight="false" outlineLevel="0" collapsed="false">
      <c r="A5" s="28" t="s">
        <v>167</v>
      </c>
      <c r="B5" s="28" t="s">
        <v>168</v>
      </c>
      <c r="C5" s="28" t="s">
        <v>169</v>
      </c>
      <c r="D5" s="28"/>
      <c r="E5" s="28" t="s">
        <v>170</v>
      </c>
      <c r="F5" s="28"/>
    </row>
    <row r="6" customFormat="false" ht="15" hidden="false" customHeight="false" outlineLevel="0" collapsed="false">
      <c r="A6" s="27" t="s">
        <v>167</v>
      </c>
      <c r="B6" s="27" t="s">
        <v>171</v>
      </c>
      <c r="C6" s="27" t="s">
        <v>169</v>
      </c>
      <c r="D6" s="27"/>
      <c r="E6" s="27" t="s">
        <v>170</v>
      </c>
      <c r="F6" s="27"/>
    </row>
    <row r="7" customFormat="false" ht="15" hidden="false" customHeight="false" outlineLevel="0" collapsed="false">
      <c r="A7" s="28" t="s">
        <v>167</v>
      </c>
      <c r="B7" s="28" t="s">
        <v>172</v>
      </c>
      <c r="C7" s="28" t="s">
        <v>173</v>
      </c>
      <c r="D7" s="28"/>
      <c r="E7" s="28" t="s">
        <v>174</v>
      </c>
      <c r="F7" s="28"/>
    </row>
    <row r="8" customFormat="false" ht="15" hidden="false" customHeight="false" outlineLevel="0" collapsed="false">
      <c r="A8" s="27" t="s">
        <v>167</v>
      </c>
      <c r="B8" s="27" t="s">
        <v>175</v>
      </c>
      <c r="C8" s="27" t="s">
        <v>173</v>
      </c>
      <c r="D8" s="27"/>
      <c r="E8" s="27" t="s">
        <v>174</v>
      </c>
      <c r="F8" s="27"/>
    </row>
    <row r="9" customFormat="false" ht="15" hidden="false" customHeight="false" outlineLevel="0" collapsed="false">
      <c r="A9" s="28" t="s">
        <v>167</v>
      </c>
      <c r="B9" s="28" t="s">
        <v>176</v>
      </c>
      <c r="C9" s="28" t="s">
        <v>173</v>
      </c>
      <c r="D9" s="28"/>
      <c r="E9" s="28" t="s">
        <v>174</v>
      </c>
      <c r="F9" s="28"/>
    </row>
    <row r="10" customFormat="false" ht="15" hidden="false" customHeight="false" outlineLevel="0" collapsed="false">
      <c r="A10" s="27" t="s">
        <v>177</v>
      </c>
      <c r="B10" s="27" t="s">
        <v>178</v>
      </c>
      <c r="C10" s="27" t="s">
        <v>179</v>
      </c>
      <c r="D10" s="27" t="s">
        <v>180</v>
      </c>
      <c r="E10" s="27" t="s">
        <v>181</v>
      </c>
      <c r="F10" s="27"/>
    </row>
    <row r="11" customFormat="false" ht="15" hidden="false" customHeight="false" outlineLevel="0" collapsed="false">
      <c r="A11" s="28" t="s">
        <v>177</v>
      </c>
      <c r="B11" s="28" t="s">
        <v>182</v>
      </c>
      <c r="C11" s="28" t="s">
        <v>180</v>
      </c>
      <c r="D11" s="28" t="s">
        <v>179</v>
      </c>
      <c r="E11" s="28" t="s">
        <v>183</v>
      </c>
      <c r="F11" s="28"/>
    </row>
    <row r="12" customFormat="false" ht="15" hidden="false" customHeight="false" outlineLevel="0" collapsed="false">
      <c r="A12" s="27" t="s">
        <v>177</v>
      </c>
      <c r="B12" s="27" t="s">
        <v>184</v>
      </c>
      <c r="C12" s="27" t="s">
        <v>185</v>
      </c>
      <c r="D12" s="27" t="s">
        <v>180</v>
      </c>
      <c r="E12" s="27" t="s">
        <v>181</v>
      </c>
      <c r="F12" s="27" t="s">
        <v>186</v>
      </c>
    </row>
    <row r="13" customFormat="false" ht="15" hidden="false" customHeight="false" outlineLevel="0" collapsed="false">
      <c r="A13" s="28" t="s">
        <v>177</v>
      </c>
      <c r="B13" s="28" t="s">
        <v>187</v>
      </c>
      <c r="C13" s="28" t="s">
        <v>180</v>
      </c>
      <c r="D13" s="28" t="s">
        <v>185</v>
      </c>
      <c r="E13" s="28" t="s">
        <v>183</v>
      </c>
      <c r="F13" s="28" t="s">
        <v>188</v>
      </c>
    </row>
    <row r="14" customFormat="false" ht="15" hidden="false" customHeight="false" outlineLevel="0" collapsed="false">
      <c r="A14" s="27" t="s">
        <v>177</v>
      </c>
      <c r="B14" s="27" t="s">
        <v>189</v>
      </c>
      <c r="C14" s="27" t="s">
        <v>179</v>
      </c>
      <c r="D14" s="27"/>
      <c r="E14" s="27" t="s">
        <v>190</v>
      </c>
      <c r="F14" s="27" t="s">
        <v>181</v>
      </c>
    </row>
    <row r="15" customFormat="false" ht="15" hidden="false" customHeight="false" outlineLevel="0" collapsed="false">
      <c r="A15" s="28" t="s">
        <v>177</v>
      </c>
      <c r="B15" s="28" t="s">
        <v>191</v>
      </c>
      <c r="C15" s="28" t="s">
        <v>179</v>
      </c>
      <c r="D15" s="28" t="s">
        <v>180</v>
      </c>
      <c r="E15" s="28" t="s">
        <v>192</v>
      </c>
      <c r="F15" s="28"/>
    </row>
    <row r="16" customFormat="false" ht="15" hidden="false" customHeight="false" outlineLevel="0" collapsed="false">
      <c r="A16" s="27" t="s">
        <v>177</v>
      </c>
      <c r="B16" s="27" t="s">
        <v>193</v>
      </c>
      <c r="C16" s="27" t="s">
        <v>179</v>
      </c>
      <c r="D16" s="27" t="s">
        <v>185</v>
      </c>
      <c r="E16" s="27" t="s">
        <v>188</v>
      </c>
      <c r="F16" s="27"/>
    </row>
    <row r="17" customFormat="false" ht="15" hidden="false" customHeight="false" outlineLevel="0" collapsed="false">
      <c r="A17" s="28" t="s">
        <v>177</v>
      </c>
      <c r="B17" s="28" t="s">
        <v>194</v>
      </c>
      <c r="C17" s="28" t="s">
        <v>185</v>
      </c>
      <c r="D17" s="28"/>
      <c r="E17" s="28" t="s">
        <v>195</v>
      </c>
      <c r="F17" s="28" t="s">
        <v>192</v>
      </c>
    </row>
    <row r="18" customFormat="false" ht="15" hidden="false" customHeight="false" outlineLevel="0" collapsed="false">
      <c r="A18" s="27" t="s">
        <v>177</v>
      </c>
      <c r="B18" s="27" t="s">
        <v>196</v>
      </c>
      <c r="C18" s="27" t="s">
        <v>180</v>
      </c>
      <c r="D18" s="27" t="s">
        <v>185</v>
      </c>
      <c r="E18" s="27" t="s">
        <v>195</v>
      </c>
      <c r="F18" s="27"/>
    </row>
    <row r="19" customFormat="false" ht="15" hidden="false" customHeight="false" outlineLevel="0" collapsed="false">
      <c r="A19" s="28" t="s">
        <v>177</v>
      </c>
      <c r="B19" s="28" t="s">
        <v>197</v>
      </c>
      <c r="C19" s="28" t="s">
        <v>179</v>
      </c>
      <c r="D19" s="28" t="s">
        <v>180</v>
      </c>
      <c r="E19" s="28" t="s">
        <v>186</v>
      </c>
      <c r="F19" s="28"/>
    </row>
    <row r="20" customFormat="false" ht="15" hidden="false" customHeight="false" outlineLevel="0" collapsed="false">
      <c r="A20" s="27" t="s">
        <v>177</v>
      </c>
      <c r="B20" s="27" t="s">
        <v>198</v>
      </c>
      <c r="C20" s="27" t="s">
        <v>185</v>
      </c>
      <c r="D20" s="27"/>
      <c r="E20" s="27" t="s">
        <v>192</v>
      </c>
      <c r="F20" s="27"/>
    </row>
    <row r="21" customFormat="false" ht="15" hidden="false" customHeight="false" outlineLevel="0" collapsed="false">
      <c r="A21" s="28" t="s">
        <v>177</v>
      </c>
      <c r="B21" s="28" t="s">
        <v>199</v>
      </c>
      <c r="C21" s="28" t="s">
        <v>180</v>
      </c>
      <c r="D21" s="28" t="s">
        <v>179</v>
      </c>
      <c r="E21" s="28" t="s">
        <v>188</v>
      </c>
      <c r="F21" s="28"/>
    </row>
    <row r="22" customFormat="false" ht="15" hidden="false" customHeight="false" outlineLevel="0" collapsed="false">
      <c r="A22" s="27" t="s">
        <v>177</v>
      </c>
      <c r="B22" s="27" t="s">
        <v>200</v>
      </c>
      <c r="C22" s="27" t="s">
        <v>180</v>
      </c>
      <c r="D22" s="27"/>
      <c r="E22" s="27" t="s">
        <v>201</v>
      </c>
      <c r="F22" s="27"/>
    </row>
    <row r="23" customFormat="false" ht="15" hidden="false" customHeight="false" outlineLevel="0" collapsed="false">
      <c r="A23" s="28" t="s">
        <v>177</v>
      </c>
      <c r="B23" s="28" t="s">
        <v>202</v>
      </c>
      <c r="C23" s="28" t="s">
        <v>185</v>
      </c>
      <c r="D23" s="28" t="s">
        <v>179</v>
      </c>
      <c r="E23" s="28" t="s">
        <v>201</v>
      </c>
      <c r="F23" s="28"/>
    </row>
    <row r="25" customFormat="false" ht="15" hidden="false" customHeight="false" outlineLevel="0" collapsed="false">
      <c r="A25" s="29" t="s">
        <v>203</v>
      </c>
      <c r="B25" s="29"/>
      <c r="C25" s="29"/>
      <c r="D25" s="29"/>
      <c r="E25" s="29"/>
      <c r="F25" s="29"/>
    </row>
  </sheetData>
  <mergeCells count="1"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2026-03-11T11:56:42Z</dcterms:created>
  <dc:creator>openpyxl</dc:creator>
  <dc:description>Gerado em 11/03/2026 08:56</dc:description>
  <dc:language>pt-BR</dc:language>
  <cp:lastModifiedBy/>
  <dcterms:modified xsi:type="dcterms:W3CDTF">2026-03-11T11:56:42Z</dcterms:modified>
  <cp:revision>0</cp:revision>
  <dc:subject/>
  <dc:title>RCA Pocket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