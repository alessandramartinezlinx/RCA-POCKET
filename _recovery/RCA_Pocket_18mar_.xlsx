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dos" sheetId="1" state="visible" r:id="rId3"/>
    <sheet name="🗂️ Acompanhamento Issue" sheetId="2" state="visible" r:id="rId4"/>
    <sheet name="📦 Arquivo" sheetId="3" state="visible" r:id="rId5"/>
    <sheet name="👥 Responsáve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<sst xmlns="http://schemas.openxmlformats.org/spreadsheetml/2006/main" count="502" uniqueCount="225">
  <si>
    <t xml:space="preserve">Key</t>
  </si>
  <si>
    <t xml:space="preserve">Resumo</t>
  </si>
  <si>
    <t xml:space="preserve">Status Jira</t>
  </si>
  <si>
    <t xml:space="preserve">Prioridade</t>
  </si>
  <si>
    <t xml:space="preserve">Data Criação</t>
  </si>
  <si>
    <t xml:space="preserve">Data Resolução</t>
  </si>
  <si>
    <t xml:space="preserve">Dias p/ Resolver</t>
  </si>
  <si>
    <t xml:space="preserve">DeV Responsável pelo Bug</t>
  </si>
  <si>
    <t xml:space="preserve">QA Responsável pelo Bug</t>
  </si>
  <si>
    <t xml:space="preserve">Qtd Vínculos</t>
  </si>
  <si>
    <t xml:space="preserve">Causa Raiz</t>
  </si>
  <si>
    <t xml:space="preserve">Time</t>
  </si>
  <si>
    <t xml:space="preserve">Área</t>
  </si>
  <si>
    <t xml:space="preserve">Tipo Erro (Auto)</t>
  </si>
  <si>
    <t xml:space="preserve">Ação Realizada no Bug</t>
  </si>
  <si>
    <t xml:space="preserve">Análise da Causa</t>
  </si>
  <si>
    <t xml:space="preserve">Tipo de Ajuste</t>
  </si>
  <si>
    <t xml:space="preserve">Possui TA</t>
  </si>
  <si>
    <t xml:space="preserve">Arquivo TA</t>
  </si>
  <si>
    <t xml:space="preserve">Resultado da Automação</t>
  </si>
  <si>
    <t xml:space="preserve">Contexto</t>
  </si>
  <si>
    <t xml:space="preserve">Problema Resolvido?</t>
  </si>
  <si>
    <t xml:space="preserve">QA Principal</t>
  </si>
  <si>
    <t xml:space="preserve">Dev Principal</t>
  </si>
  <si>
    <t xml:space="preserve">Issue de Acompanhamento</t>
  </si>
  <si>
    <t xml:space="preserve">Plano Ação/Lição Aprendida</t>
  </si>
  <si>
    <t xml:space="preserve">Analisado</t>
  </si>
  <si>
    <t xml:space="preserve">Data Filtragem</t>
  </si>
  <si>
    <t xml:space="preserve">MODAJOI-100652</t>
  </si>
  <si>
    <t xml:space="preserve">Venda fácil: Não permite editar pré-venda ==================================</t>
  </si>
  <si>
    <t xml:space="preserve">Concluída</t>
  </si>
  <si>
    <t xml:space="preserve">P2 - Médio</t>
  </si>
  <si>
    <t xml:space="preserve">Kassia Mabily Fraga Souza</t>
  </si>
  <si>
    <t xml:space="preserve">Altimara Wrobel Carneiro Schmitz</t>
  </si>
  <si>
    <t xml:space="preserve">FatInt</t>
  </si>
  <si>
    <t xml:space="preserve">Venda Fácil</t>
  </si>
  <si>
    <t xml:space="preserve">Banco de Dados</t>
  </si>
  <si>
    <t xml:space="preserve">[Alteração no código] Causa Após alterações da demanda originadora (MODAJOI-99809), a regra de habilitação do botão “Finalizar” na tela de pagamento da pré-venda ficou mais restritiva e, ao editar uma pré-venda existente sem informar pagamento, o botão permanecia “em marca d’água” (desabilitado), impedindo salvar/prosseguir com as alterações. Solução Ajustada a condição do método `permiteFinali...</t>
  </si>
  <si>
    <t xml:space="preserve">MODAJOI-99809 - Foi uma condição implementada para tentar blindar um outro problema - Feito Rollback</t>
  </si>
  <si>
    <t xml:space="preserve">Código</t>
  </si>
  <si>
    <t xml:space="preserve">Não</t>
  </si>
  <si>
    <t xml:space="preserve">Não se Aplica</t>
  </si>
  <si>
    <t xml:space="preserve">Solicitado a criação para um no TA que faça a varredura de casos como esse.</t>
  </si>
  <si>
    <t xml:space="preserve">Sim</t>
  </si>
  <si>
    <t xml:space="preserve">Daiane</t>
  </si>
  <si>
    <t xml:space="preserve">Gisele</t>
  </si>
  <si>
    <t xml:space="preserve">Pendente</t>
  </si>
  <si>
    <t xml:space="preserve">Iniciativa do dev para rollback e abertura de TA</t>
  </si>
  <si>
    <t xml:space="preserve">MODAJOI-100187</t>
  </si>
  <si>
    <t xml:space="preserve">Oops, Ocorreu um erro! ao gerar Pré-venda com link de pagamento. ==================================</t>
  </si>
  <si>
    <t xml:space="preserve">Marcos Eduardo Melo Mendonca</t>
  </si>
  <si>
    <t xml:space="preserve">Déborah Brenda Dos Santos</t>
  </si>
  <si>
    <t xml:space="preserve">Integração</t>
  </si>
  <si>
    <t xml:space="preserve">[Alteração no código] Atualização URL</t>
  </si>
  <si>
    <t xml:space="preserve">Link do Pagar-me que não está funcionando, para a Versão V2.</t>
  </si>
  <si>
    <t xml:space="preserve">Terceiros</t>
  </si>
  <si>
    <t xml:space="preserve">CD007-Pre Venda com Link Pagamento via Whatsapp - esse cenário estava com erro</t>
  </si>
  <si>
    <t xml:space="preserve">Detectou problema</t>
  </si>
  <si>
    <t xml:space="preserve">Pendente 5</t>
  </si>
  <si>
    <t xml:space="preserve">Nesse caso o problema foi causado por terceiros e a solução foi alterar o link de pagamento.</t>
  </si>
  <si>
    <t xml:space="preserve">MODAJOI-99532</t>
  </si>
  <si>
    <t xml:space="preserve">POS - Comprovante do Remessas e Retornos não Funciona</t>
  </si>
  <si>
    <t xml:space="preserve">P3 - Baixo</t>
  </si>
  <si>
    <t xml:space="preserve">Joao Vinicius Souza Goncalves </t>
  </si>
  <si>
    <t xml:space="preserve">Remessas e Retornos</t>
  </si>
  <si>
    <t xml:space="preserve">[Alteração no código] Ajuste para que o POS permite corretamente imprimir o comprovante de remessas e retornos.</t>
  </si>
  <si>
    <t xml:space="preserve">MODAJOI-99032 - Acabou impactando somente a rotina online.</t>
  </si>
  <si>
    <t xml:space="preserve">TestComplete</t>
  </si>
  <si>
    <t xml:space="preserve">Somente são realizados na publicação de nova versão do POS</t>
  </si>
  <si>
    <t xml:space="preserve">Otávio</t>
  </si>
  <si>
    <t xml:space="preserve">Quando alterar qualquer rotina, elencar as principais rotinas online para não cair em erros</t>
  </si>
  <si>
    <t xml:space="preserve">MODAJOI-100251</t>
  </si>
  <si>
    <t xml:space="preserve">Venda Fácil - Não finaliza venda com campanha do CRM&amp;Bônus.</t>
  </si>
  <si>
    <t xml:space="preserve">P1 - Alto</t>
  </si>
  <si>
    <t xml:space="preserve">[Alteração no código] Ajuste para que o VF finalize corretamente caso haja campanha crmBonus. O erro ocorria por uma especie de `blindagem` para evitar duplo clique e duplicidade na finalização de vendas. Que tratava essa finalização indevidamente e impedia que de fato a venda fosse concluida.</t>
  </si>
  <si>
    <t xml:space="preserve">Teria que deixar um ambiente configurado para utilizar o CRM Bonus e que o ambiente esteja 100% disponível</t>
  </si>
  <si>
    <t xml:space="preserve">Time do Ademir avaliar a possibilidade de criação de TA para essa rotina e estruturar o ambiente / Mapear quantos clientes utilizam a V1 do CRM Bonus e quantos utilizam a V2</t>
  </si>
  <si>
    <t xml:space="preserve">MODAJOI-100418</t>
  </si>
  <si>
    <t xml:space="preserve">Venda Fácil - Rejeição 865: Total dos pagamentos menor que o total da nota, em vendas com cupom.</t>
  </si>
  <si>
    <t xml:space="preserve">[Alteração no código] Causa A validação anterior limitava o desconto considerando apenas o valor total dos produtos. Com isso, era possível concluir a venda com valor final de R$ 0,01, independentemente da quantidade de itens, pois a regra distribuía esse mínimo por item. A validação anterior veio como ajuste da MODAJOI-100016, mas as alterações surtiam efeito para o cenário do valor do cupom m...</t>
  </si>
  <si>
    <t xml:space="preserve">Problemas com arredondamento - no momento do arredondamento o sistema se perdia.</t>
  </si>
  <si>
    <t xml:space="preserve">O item do cliente é específico - ótico + cupom de desconto + pagamento parcial</t>
  </si>
  <si>
    <t xml:space="preserve">Pendente 2</t>
  </si>
  <si>
    <t xml:space="preserve">Fazer uma análise nas ultimas rejeições/bug e criar algo para blindar esse tipo de situação de arredondamento.</t>
  </si>
  <si>
    <t xml:space="preserve">MODAJOI-100578</t>
  </si>
  <si>
    <t xml:space="preserve">Valor mínimo para resgate incorreto no venda fácil, comparando a configuração do fidelidade no Reshop.</t>
  </si>
  <si>
    <t xml:space="preserve">Sistema</t>
  </si>
  <si>
    <t xml:space="preserve">[Alteração no código] Causa Na tela de resgate por pontos, o “valor mínimo de resgate” exibido estava confundindo a regra: o sistema acabava apresentando incorretamente um valor relacionado a pontos (ou a conversão/limite) quando, na prática, existem regras distintas: - Valor mínimo da venda para permitir resgate; - Limite percentual de resgate sobre o valor da venda; - Valor mínimo (em R$) par...</t>
  </si>
  <si>
    <t xml:space="preserve">Não teve uma causa descoberta.</t>
  </si>
  <si>
    <t xml:space="preserve">Como se trata de problema visual, talvez não se aplique ao TA</t>
  </si>
  <si>
    <t xml:space="preserve">Pendente 3</t>
  </si>
  <si>
    <t xml:space="preserve">Fazer uma análise da possibilidade de criar um TA relativo a esse tipo de problema</t>
  </si>
  <si>
    <t xml:space="preserve">MODAJOI-100461</t>
  </si>
  <si>
    <t xml:space="preserve">Ao abrir POS e na tela inicial, após curto tempo consta mensagem de erro:</t>
  </si>
  <si>
    <t xml:space="preserve">POS</t>
  </si>
  <si>
    <t xml:space="preserve">Realizado ajuste nos produtos, pois haviam mais de 1600 produtos definidos como catálogo. Deste modo, ocasionava travamentos dado o alto volume. Após o ajuste, o erro cessou. Trataremos o problema em sua causa raiz através de uma melhoria que será aberta.</t>
  </si>
  <si>
    <t xml:space="preserve">O cliente utilizou um número maior do que o limite permitido de sincronização de produtos</t>
  </si>
  <si>
    <t xml:space="preserve">Pendente 4</t>
  </si>
  <si>
    <t xml:space="preserve">Fazer um levantamento para validar se a blindagem para limitação de importação se perdeu</t>
  </si>
  <si>
    <t xml:space="preserve">MODAJOI-100270</t>
  </si>
  <si>
    <t xml:space="preserve">Venda Fácil - Erro Undefined ao Pesquisar o Serviços pelo Nome</t>
  </si>
  <si>
    <t xml:space="preserve">Fernando Sutter</t>
  </si>
  <si>
    <t xml:space="preserve">Geovane Schmitt</t>
  </si>
  <si>
    <t xml:space="preserve">[Alteração no código] Tratamento para buscar o alias correto da tabela de produtos/serviços</t>
  </si>
  <si>
    <t xml:space="preserve">MODAJOI-99339</t>
  </si>
  <si>
    <t xml:space="preserve">CD01-Pesquisar Produto e Compartilhar Resultado</t>
  </si>
  <si>
    <t xml:space="preserve">O TA cobre somente pesquisa de produtos e nesse caso a pesquisa era de serviço</t>
  </si>
  <si>
    <t xml:space="preserve">Pendente1</t>
  </si>
  <si>
    <t xml:space="preserve">Criar TA para erviço</t>
  </si>
  <si>
    <t xml:space="preserve">MODAJOI-99893</t>
  </si>
  <si>
    <t xml:space="preserve">Venda Fácil - TEF - Não foi possível se comunicar com o Scarf.</t>
  </si>
  <si>
    <t xml:space="preserve">TEF</t>
  </si>
  <si>
    <t xml:space="preserve">Orientações passadas pelo Teams acerca do "AccessViolationException"</t>
  </si>
  <si>
    <t xml:space="preserve">Não conseguimos simular a causa do problema - Na própria loja não ocorreu mais o problema</t>
  </si>
  <si>
    <t xml:space="preserve">O TEF acaba sendo um processo com um grau de dificuldade  maior para a criação do TA</t>
  </si>
  <si>
    <t xml:space="preserve">MODAJOI-100066</t>
  </si>
  <si>
    <t xml:space="preserve">Relatório de detalhamento de custos duplica valor de FCP -ERP</t>
  </si>
  <si>
    <t xml:space="preserve">Jhony Kennyth Viebrantz</t>
  </si>
  <si>
    <t xml:space="preserve">Caroline Becker Gonçalves Corrêa</t>
  </si>
  <si>
    <t xml:space="preserve">Suprimentos</t>
  </si>
  <si>
    <t xml:space="preserve">[Alteração no código] Feito o ajuste conforme Épico MODAJOI-31323 onde é tratado para calcular o FcpStAntecipado quando houver FCPST.</t>
  </si>
  <si>
    <t xml:space="preserve">CD01-Emissao Do Relatorio Detalhamento de Custos
CD02-Emissao Do Relatorio Detalhamento de Custos - Verificar Coluna Nota Origem
CD03-Emissao Do Relatorio Detalhamento de Custos - Apenas Nota de Entrada
(+2 mais)</t>
  </si>
  <si>
    <t xml:space="preserve">MODAJOI-100533</t>
  </si>
  <si>
    <t xml:space="preserve">ERP - Erro ao selecionar itens para devolução de compra fácil ==================================</t>
  </si>
  <si>
    <t xml:space="preserve">Mariana Franco Fernandes</t>
  </si>
  <si>
    <t xml:space="preserve">FFC</t>
  </si>
  <si>
    <t xml:space="preserve">NF-e</t>
  </si>
  <si>
    <t xml:space="preserve">[Alteração no código] Causa: A devolução está sendo gerada porque o sistema encontrou a NF-e de entrada correspondente à chave informada durante o processo de conferência. Como a nota é localizada nas fontes consultadas (XML/integrações), nenhuma referência de conferência é criada, resultando em lista vazia e impedindo a continuidade da devolução: No payload, quando enviamos o produto pra devol...</t>
  </si>
  <si>
    <t xml:space="preserve">CD12 - Gerar nota de devolução de compra selecionando o documento de origem após a inserção dos itens
CD01 - Gerar nota de devolução de compra com produto com IPI
CD02 - Gerar nota de devolução de compra com produto com CST 0.40
(+2 mais)</t>
  </si>
  <si>
    <t xml:space="preserve">Flavia Doge</t>
  </si>
  <si>
    <t xml:space="preserve">Jean Carlos</t>
  </si>
  <si>
    <t xml:space="preserve">MODAJOI-100597</t>
  </si>
  <si>
    <t xml:space="preserve">Erro SQL ao acessar Portal ==================================</t>
  </si>
  <si>
    <t xml:space="preserve">Nelson Campagnaro Junior</t>
  </si>
  <si>
    <t xml:space="preserve">Não Mapeado</t>
  </si>
  <si>
    <t xml:space="preserve">Configuração</t>
  </si>
  <si>
    <t xml:space="preserve">Erro de banco de dados causado na reativação do portal via MODAJOI-99848.</t>
  </si>
  <si>
    <t xml:space="preserve">CD02-Verificar Marcas Associadas Por Portal
CD05-Implantacao de Novo Portal - Informar Dados Bancarios
CD01- Pequisar Portal Multimarca
(+2 mais)</t>
  </si>
  <si>
    <t xml:space="preserve">MODAJOI-100776</t>
  </si>
  <si>
    <t xml:space="preserve">Conciliador bancário: Erro ao desconciliar faturas e lançamentos contábeis: Execution Timeout Expired. ==================================</t>
  </si>
  <si>
    <t xml:space="preserve">Marcos Felipe Dantas Da Costa</t>
  </si>
  <si>
    <t xml:space="preserve">Gestão Financeira</t>
  </si>
  <si>
    <t xml:space="preserve">The Tempo Account was changed to Nao Capitalizavel (Opex) by the Scriptrunner validation script</t>
  </si>
  <si>
    <t xml:space="preserve">CD14-Validar Conciliacao Automatica Fatura Lançada no Contas a Pagar e Já Baixada pelo Gestão Financeira
CD18-Conciliar Fatura a Receber Por Sugestão
CD01-Filtro Data
(+2 mais)</t>
  </si>
  <si>
    <t xml:space="preserve">Michelle Pereira</t>
  </si>
  <si>
    <t xml:space="preserve">Fabio Elias</t>
  </si>
  <si>
    <t xml:space="preserve">MODAJOI-100650</t>
  </si>
  <si>
    <t xml:space="preserve">ERP - venda não apresenta os dois seguros vendidos ==================================</t>
  </si>
  <si>
    <t xml:space="preserve">Anderson Petry</t>
  </si>
  <si>
    <t xml:space="preserve">ao verificar no BD os seguros são listados: e ao conferir no relatório também esta listando.</t>
  </si>
  <si>
    <t xml:space="preserve">CD02-Venda com Dois Itens com Cliente Pessoa Física e Troca
CD04-Faturamento Formas Pagamento Pix + Dois Cartoes Credito
CD08-Venda de dois Servicos com Desconto No Item
(+2 mais)</t>
  </si>
  <si>
    <t xml:space="preserve">MODAJOI-100393</t>
  </si>
  <si>
    <t xml:space="preserve">Troca fácil: Não é possivel realizar devolução para o item ==================================</t>
  </si>
  <si>
    <t xml:space="preserve">Leticia Saraiva Chaves</t>
  </si>
  <si>
    <t xml:space="preserve">[Alteração no código] Ajuste na query ao verificar a existência de devolução sem registro na tabela trocaunificada.</t>
  </si>
  <si>
    <t xml:space="preserve">CD01-Realizar Troca e Zerar Vale Gerado
CD15-Realizar Troca em Base Central
CD17-Realizar Troca de uma venda realizada com Desconto
(+2 mais)</t>
  </si>
  <si>
    <t xml:space="preserve">MODAJOI-100566</t>
  </si>
  <si>
    <t xml:space="preserve">Rejeição 929  CST de Diferimento sem informações - ERP</t>
  </si>
  <si>
    <t xml:space="preserve">Feito a nota pontualmente, pois a correção efetiva sairá na demanda # MODAJOI-100388</t>
  </si>
  <si>
    <t xml:space="preserve">CD005-Pre Venda Rejeicao por CST Incorreta
CD01 - Gerar nota de devolução a partir do produto com Venda CST 0.00 com cliente pessoa física do mesmo estado
CD01-Entrada Manual com Rejeicao Nota_Fiscal
(+2 mais)</t>
  </si>
  <si>
    <t xml:space="preserve">MODAJOI-100362</t>
  </si>
  <si>
    <t xml:space="preserve">Na rotina ERP &gt; Faturamentos &gt; Exportação de Dados, ao processar a configuração “Electrolux Venda/Cancelamento de Seguros (6461)” no Linx Microvix, as exportações vêm sendo finalizadas de forma int...</t>
  </si>
  <si>
    <t xml:space="preserve">Na rotina ERP &gt; Faturamentos &gt; Exportação de Dados, ao processar a configuração “Electrolux Venda/Cancelamento de Seguros (6461)” no Linx Microvix, as exportações vêm sendo finalizadas de forma intermitente com o status “Concluído com erro”, conforme demonstrado no histórico de processamentos (ID...</t>
  </si>
  <si>
    <t xml:space="preserve">verificado que está sendo gerado normalmente, e o problema reportado foi de uma venda de seguro onde faltava subir pra nuvem o plano de pagamento de seguro, provalvemte teve uma rejeição de NFe e depois a venda foi alterada para NFCe. Feito o retroativo, caso surja um novo caso pegar o log do POS. Correção liberada na versão abaixo https://setupbr.microvix.com.br/homologacao-manualonly/LinxMicr...</t>
  </si>
  <si>
    <t xml:space="preserve">CD23-Venda NFC-e Forma de Pagamento QR Linx
CD12-Venda NFC-e com as Forma de Pagamento: POS Connect
CD01-Venda NFC-e com Forma de Pagamento PIX Estático
(+2 mais)</t>
  </si>
  <si>
    <t xml:space="preserve">Issue Acompanhamento</t>
  </si>
  <si>
    <t xml:space="preserve">Issue Original</t>
  </si>
  <si>
    <t xml:space="preserve">Responsável</t>
  </si>
  <si>
    <t xml:space="preserve">Ação</t>
  </si>
  <si>
    <t xml:space="preserve">Status da Ação</t>
  </si>
  <si>
    <t xml:space="preserve">Data Limite</t>
  </si>
  <si>
    <t xml:space="preserve">Data Conclusão</t>
  </si>
  <si>
    <t xml:space="preserve">Observação</t>
  </si>
  <si>
    <t xml:space="preserve">Altimara</t>
  </si>
  <si>
    <t xml:space="preserve">RC</t>
  </si>
  <si>
    <t xml:space="preserve">Criar Teste Automatizado</t>
  </si>
  <si>
    <t xml:space="preserve">Análise</t>
  </si>
  <si>
    <t xml:space="preserve">Verificar a criação do teste automatizado com QA</t>
  </si>
  <si>
    <t xml:space="preserve">Pendente 1</t>
  </si>
  <si>
    <t xml:space="preserve">Debora</t>
  </si>
  <si>
    <t xml:space="preserve">Andamento</t>
  </si>
  <si>
    <t xml:space="preserve">Ademir</t>
  </si>
  <si>
    <t xml:space="preserve">Criar um item para analisar a correção definitiva as Rejeições 865 e 866 </t>
  </si>
  <si>
    <t xml:space="preserve">Analisar e criar TA se houver possibilidade</t>
  </si>
  <si>
    <t xml:space="preserve">Deivis</t>
  </si>
  <si>
    <t xml:space="preserve">Fazer uma busca para validar se a blindagem pela quantidade para a sincronização de perdeu</t>
  </si>
  <si>
    <t xml:space="preserve">Cobrar o fornecedor uma solução definitiva</t>
  </si>
  <si>
    <t xml:space="preserve">Fornecedor Pagar-me/Stone</t>
  </si>
  <si>
    <t xml:space="preserve">Data Arquivamento</t>
  </si>
  <si>
    <t xml:space="preserve">ℹ️ Issues com Analisado=Sim importadas há mais de 30 dias são movidas para esta aba automaticamente.</t>
  </si>
  <si>
    <t xml:space="preserve">QA Secundário</t>
  </si>
  <si>
    <t xml:space="preserve">Dev Secundário</t>
  </si>
  <si>
    <t xml:space="preserve">Entrada XML</t>
  </si>
  <si>
    <t xml:space="preserve">Jenifer Lopes</t>
  </si>
  <si>
    <t xml:space="preserve">Guilherme Rocha</t>
  </si>
  <si>
    <t xml:space="preserve">Vinícius Souza Martins</t>
  </si>
  <si>
    <t xml:space="preserve">Willian Dias Brito</t>
  </si>
  <si>
    <t xml:space="preserve">Balanço</t>
  </si>
  <si>
    <t xml:space="preserve">Ana Paula Coelho</t>
  </si>
  <si>
    <t xml:space="preserve">João Vitor Leone</t>
  </si>
  <si>
    <t xml:space="preserve">Compras 2.0</t>
  </si>
  <si>
    <t xml:space="preserve">Rafael Flecha</t>
  </si>
  <si>
    <t xml:space="preserve">Mauricio Maia</t>
  </si>
  <si>
    <t xml:space="preserve">Conciliadores</t>
  </si>
  <si>
    <t xml:space="preserve">Rejeições</t>
  </si>
  <si>
    <t xml:space="preserve">Conferencia de Caixa</t>
  </si>
  <si>
    <t xml:space="preserve">Vicente</t>
  </si>
  <si>
    <t xml:space="preserve">Luis</t>
  </si>
  <si>
    <t xml:space="preserve">Trocas</t>
  </si>
  <si>
    <t xml:space="preserve">Maica</t>
  </si>
  <si>
    <t xml:space="preserve">Raul</t>
  </si>
  <si>
    <t xml:space="preserve">Ótico</t>
  </si>
  <si>
    <t xml:space="preserve">Letícia</t>
  </si>
  <si>
    <t xml:space="preserve">B2C</t>
  </si>
  <si>
    <t xml:space="preserve">Amanda</t>
  </si>
  <si>
    <t xml:space="preserve">Importadores</t>
  </si>
  <si>
    <t xml:space="preserve">Marcus</t>
  </si>
  <si>
    <t xml:space="preserve">Gerador de Relatórios</t>
  </si>
  <si>
    <t xml:space="preserve">Serviços e Painel NFse</t>
  </si>
  <si>
    <t xml:space="preserve">Guilherme</t>
  </si>
  <si>
    <t xml:space="preserve">SmartPOS</t>
  </si>
  <si>
    <t xml:space="preserve">Catalogo Digital</t>
  </si>
  <si>
    <t xml:space="preserve">Venda de Seguros</t>
  </si>
  <si>
    <t xml:space="preserve">Reshop</t>
  </si>
  <si>
    <t xml:space="preserve">ℹ️ Edite o arquivo rca_config.yaml para alterar responsáveis. Re-execute generate_excel.py para atualizar.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</si>
</sst>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0"/>
      <color rgb="FFFFFFFF"/>
      <name val="Calibri"/>
      <family val="0"/>
      <charset val="1"/>
    </font>
    <font>
      <b val="true"/>
      <u val="single"/>
      <sz val="9"/>
      <color rgb="FF0563C1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9C0006"/>
      <name val="Calibri"/>
      <family val="0"/>
      <charset val="1"/>
    </font>
    <font>
      <b val="true"/>
      <sz val="9"/>
      <color rgb="FF9C65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u val="single"/>
      <sz val="11"/>
      <color rgb="FF0563C1"/>
      <name val="Calibri"/>
      <family val="0"/>
      <charset val="1"/>
    </font>
    <font>
      <sz val="11"/>
      <name val="Calibri"/>
      <family val="0"/>
      <charset val="1"/>
    </font>
    <font>
      <i val="true"/>
      <sz val="8"/>
      <color rgb="FF888888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44546A"/>
      </patternFill>
    </fill>
    <fill>
      <patternFill patternType="solid">
        <fgColor rgb="FF44546A"/>
        <bgColor rgb="FF1F4E79"/>
      </patternFill>
    </fill>
    <fill>
      <patternFill patternType="solid">
        <fgColor rgb="FF375623"/>
        <bgColor rgb="FF44546A"/>
      </patternFill>
    </fill>
    <fill>
      <patternFill patternType="solid">
        <fgColor rgb="FFD6E4F0"/>
        <bgColor rgb="FFE8EAED"/>
      </patternFill>
    </fill>
    <fill>
      <patternFill patternType="solid">
        <fgColor rgb="FFFFC7CE"/>
        <bgColor rgb="FFCCCCCC"/>
      </patternFill>
    </fill>
    <fill>
      <patternFill patternType="solid">
        <fgColor rgb="FFE8EAED"/>
        <bgColor rgb="FFEBF1DE"/>
      </patternFill>
    </fill>
    <fill>
      <patternFill patternType="solid">
        <fgColor rgb="FFEBF1DE"/>
        <bgColor rgb="FFE8EAED"/>
      </patternFill>
    </fill>
    <fill>
      <patternFill patternType="solid">
        <fgColor rgb="FFFFEB9C"/>
        <bgColor rgb="FFEBF1DE"/>
      </patternFill>
    </fill>
    <fill>
      <patternFill patternType="solid">
        <fgColor rgb="FF2E75B6"/>
        <bgColor rgb="FF0563C1"/>
      </patternFill>
    </fill>
    <fill>
      <patternFill patternType="solid">
        <fgColor rgb="FF7F6000"/>
        <bgColor rgb="FF9C6500"/>
      </patternFill>
    </fill>
    <fill>
      <patternFill patternType="solid">
        <fgColor rgb="FFEBF3FB"/>
        <bgColor rgb="FFE8EAED"/>
      </patternFill>
    </fill>
    <fill>
      <patternFill patternType="solid">
        <fgColor rgb="FFFFFF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dxfs count="1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E8EAED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BF3F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CCCCC"/>
      <rgbColor rgb="FF888888"/>
      <rgbColor rgb="FF9999FF"/>
      <rgbColor rgb="FF993366"/>
      <rgbColor rgb="FFEBF1DE"/>
      <rgbColor rgb="FFEBF3FB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ED"/>
      <rgbColor rgb="FFCCFFCC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65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Acompanhamento" displayName="TabelaAcompanhamento" ref="A1:I7" headerRowCount="1" totalsRowCount="0" totalsRowShown="0">
  <autoFilter ref="A1:I7"/>
  <tableColumns count="9">
    <tableColumn id="1" name="Issue Acompanhamento"/>
    <tableColumn id="2" name="Issue Original"/>
    <tableColumn id="3" name="Responsável"/>
    <tableColumn id="4" name="Área"/>
    <tableColumn id="5" name="Ação"/>
    <tableColumn id="6" name="Status da Ação"/>
    <tableColumn id="7" name="Data Limite"/>
    <tableColumn id="8" name="Data Conclusão"/>
    <tableColumn id="9" name="Observação"/>
  </tableColumns>
</table>
</file>

<file path=xl/tables/table2.xml><?xml version="1.0" encoding="utf-8"?>
<table xmlns="http://schemas.openxmlformats.org/spreadsheetml/2006/main" id="2" name="TabelaDados" displayName="TabelaDados" ref="A1:AB18" headerRowCount="1" totalsRowCount="0" totalsRowShown="0">
  <autoFilter ref="A1:AB18"/>
  <tableColumns count="28">
    <tableColumn id="1" name="Key"/>
    <tableColumn id="2" name="Resumo"/>
    <tableColumn id="3" name="Status Jira"/>
    <tableColumn id="4" name="Prioridade"/>
    <tableColumn id="5" name="Data Criação"/>
    <tableColumn id="6" name="Data Resolução"/>
    <tableColumn id="7" name="Dias p/ Resolver"/>
    <tableColumn id="8" name="DeV Responsável pelo Bug"/>
    <tableColumn id="9" name="QA Responsável pelo Bug"/>
    <tableColumn id="10" name="Qtd Vínculos"/>
    <tableColumn id="11" name="Causa Raiz"/>
    <tableColumn id="12" name="Time"/>
    <tableColumn id="13" name="Área"/>
    <tableColumn id="14" name="Tipo Erro (Auto)"/>
    <tableColumn id="15" name="Ação Realizada no Bug"/>
    <tableColumn id="16" name="Análise da Causa"/>
    <tableColumn id="17" name="Tipo de Ajuste"/>
    <tableColumn id="18" name="Possui TA"/>
    <tableColumn id="19" name="Arquivo TA"/>
    <tableColumn id="20" name="Resultado da Automação"/>
    <tableColumn id="21" name="Contexto"/>
    <tableColumn id="22" name="Problema Resolvido?"/>
    <tableColumn id="23" name="QA Principal"/>
    <tableColumn id="24" name="Dev Principal"/>
    <tableColumn id="25" name="Issue de Acompanhamento"/>
    <tableColumn id="26" name="Plano Ação/Lição Aprendida"/>
    <tableColumn id="27" name="Analisado"/>
    <tableColumn id="28" name="Data Filtragem"/>
  </tableColumns>
</table>
</file>

<file path=xl/tables/table3.xml><?xml version="1.0" encoding="utf-8"?>
<table xmlns="http://schemas.openxmlformats.org/spreadsheetml/2006/main" id="3" name="TabelaResponsaveis" displayName="TabelaResponsaveis" ref="A1:F23" headerRowCount="1" totalsRowCount="0" totalsRowShown="0">
  <autoFilter ref="A1:F23"/>
  <tableColumns count="6">
    <tableColumn id="1" name="Time"/>
    <tableColumn id="2" name="Área"/>
    <tableColumn id="3" name="QA Principal"/>
    <tableColumn id="4" name="QA Secundário"/>
    <tableColumn id="5" name="Dev Principal"/>
    <tableColumn id="6" name="Dev Secundári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ira.linx.com.br/browse/MODAJOI-100652" TargetMode="External"/><Relationship Id="rId2" Type="http://schemas.openxmlformats.org/officeDocument/2006/relationships/hyperlink" Target="https://jira.linx.com.br/browse/MODAJOI-100187" TargetMode="External"/><Relationship Id="rId3" Type="http://schemas.openxmlformats.org/officeDocument/2006/relationships/hyperlink" Target="https://jira.linx.com.br/browse/MODAJOI-99532" TargetMode="External"/><Relationship Id="rId4" Type="http://schemas.openxmlformats.org/officeDocument/2006/relationships/hyperlink" Target="https://jira.linx.com.br/browse/MODAJOI-100251" TargetMode="External"/><Relationship Id="rId5" Type="http://schemas.openxmlformats.org/officeDocument/2006/relationships/hyperlink" Target="https://jira.linx.com.br/browse/MODAJOI-100418" TargetMode="External"/><Relationship Id="rId6" Type="http://schemas.openxmlformats.org/officeDocument/2006/relationships/hyperlink" Target="https://jira.linx.com.br/browse/MODAJOI-100578" TargetMode="External"/><Relationship Id="rId7" Type="http://schemas.openxmlformats.org/officeDocument/2006/relationships/hyperlink" Target="https://jira.linx.com.br/browse/MODAJOI-100461" TargetMode="External"/><Relationship Id="rId8" Type="http://schemas.openxmlformats.org/officeDocument/2006/relationships/hyperlink" Target="https://jira.linx.com.br/browse/MODAJOI-100270" TargetMode="External"/><Relationship Id="rId9" Type="http://schemas.openxmlformats.org/officeDocument/2006/relationships/hyperlink" Target="https://jira.linx.com.br/browse/MODAJOI-99893" TargetMode="External"/><Relationship Id="rId10" Type="http://schemas.openxmlformats.org/officeDocument/2006/relationships/hyperlink" Target="https://jira.linx.com.br/browse/MODAJOI-100066" TargetMode="External"/><Relationship Id="rId11" Type="http://schemas.openxmlformats.org/officeDocument/2006/relationships/hyperlink" Target="https://jira.linx.com.br/browse/MODAJOI-100533" TargetMode="External"/><Relationship Id="rId12" Type="http://schemas.openxmlformats.org/officeDocument/2006/relationships/hyperlink" Target="https://jira.linx.com.br/browse/MODAJOI-100597" TargetMode="External"/><Relationship Id="rId13" Type="http://schemas.openxmlformats.org/officeDocument/2006/relationships/hyperlink" Target="https://jira.linx.com.br/browse/MODAJOI-100776" TargetMode="External"/><Relationship Id="rId14" Type="http://schemas.openxmlformats.org/officeDocument/2006/relationships/hyperlink" Target="https://jira.linx.com.br/browse/MODAJOI-100650" TargetMode="External"/><Relationship Id="rId15" Type="http://schemas.openxmlformats.org/officeDocument/2006/relationships/hyperlink" Target="https://jira.linx.com.br/browse/MODAJOI-100393" TargetMode="External"/><Relationship Id="rId16" Type="http://schemas.openxmlformats.org/officeDocument/2006/relationships/hyperlink" Target="https://jira.linx.com.br/browse/MODAJOI-100566" TargetMode="External"/><Relationship Id="rId17" Type="http://schemas.openxmlformats.org/officeDocument/2006/relationships/hyperlink" Target="https://jira.linx.com.br/browse/MODAJOI-100362" TargetMode="External"/><Relationship Id="rId18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jira.linx.com.br/browse/MODAJOI-100652" TargetMode="External"/><Relationship Id="rId2" Type="http://schemas.openxmlformats.org/officeDocument/2006/relationships/hyperlink" Target="https://jira.linx.com.br/browse/MODAJOI-100270" TargetMode="External"/><Relationship Id="rId3" Type="http://schemas.openxmlformats.org/officeDocument/2006/relationships/hyperlink" Target="https://jira.linx.com.br/browse/MODAJOI-100418" TargetMode="External"/><Relationship Id="rId4" Type="http://schemas.openxmlformats.org/officeDocument/2006/relationships/hyperlink" Target="https://jira.linx.com.br/browse/MODAJOI-100578" TargetMode="External"/><Relationship Id="rId5" Type="http://schemas.openxmlformats.org/officeDocument/2006/relationships/hyperlink" Target="https://jira.linx.com.br/browse/MODAJOI-100461" TargetMode="External"/><Relationship Id="rId6" Type="http://schemas.openxmlformats.org/officeDocument/2006/relationships/hyperlink" Target="https://jira.linx.com.br/browse/MODAJOI-100187" TargetMode="External"/><Relationship Id="rId7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8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pane xSplit="0" ySplit="1" topLeftCell="M2" activePane="bottomLeft" state="frozen"/>
      <selection pane="topLeft" activeCell="U1" activeCellId="0" sqref="U1"/>
      <selection pane="bottomLeft" activeCell="U4" activeCellId="0" sqref="U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7" min="5" style="0" width="14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40"/>
    <col collapsed="false" customWidth="true" hidden="false" outlineLevel="0" max="12" min="12" style="0" width="16"/>
    <col collapsed="false" customWidth="true" hidden="false" outlineLevel="0" max="14" min="13" style="0" width="18"/>
    <col collapsed="false" customWidth="true" hidden="false" outlineLevel="0" max="15" min="15" style="0" width="50"/>
    <col collapsed="false" customWidth="true" hidden="false" outlineLevel="0" max="16" min="16" style="1" width="40"/>
    <col collapsed="false" customWidth="true" hidden="false" outlineLevel="0" max="17" min="17" style="0" width="22"/>
    <col collapsed="false" customWidth="true" hidden="false" outlineLevel="0" max="18" min="18" style="0" width="14"/>
    <col collapsed="false" customWidth="true" hidden="false" outlineLevel="0" max="19" min="19" style="1" width="35"/>
    <col collapsed="false" customWidth="true" hidden="false" outlineLevel="0" max="20" min="20" style="0" width="20"/>
    <col collapsed="false" customWidth="true" hidden="false" outlineLevel="0" max="21" min="21" style="1" width="40"/>
    <col collapsed="false" customWidth="true" hidden="false" outlineLevel="0" max="25" min="22" style="0" width="18"/>
    <col collapsed="false" customWidth="true" hidden="false" outlineLevel="0" max="26" min="26" style="1" width="32"/>
    <col collapsed="false" customWidth="true" hidden="false" outlineLevel="0" max="28" min="27" style="0" width="14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customFormat="false" ht="55.4" hidden="false" customHeight="false" outlineLevel="0" collapsed="false">
      <c r="A2" s="5" t="s">
        <v>28</v>
      </c>
      <c r="B2" s="6" t="s">
        <v>29</v>
      </c>
      <c r="C2" s="6" t="s">
        <v>30</v>
      </c>
      <c r="D2" s="6" t="s">
        <v>31</v>
      </c>
      <c r="E2" s="7" t="n">
        <v>46093</v>
      </c>
      <c r="F2" s="7" t="n">
        <v>46098</v>
      </c>
      <c r="G2" s="6" t="n">
        <v>5</v>
      </c>
      <c r="H2" s="6" t="s">
        <v>32</v>
      </c>
      <c r="I2" s="6" t="s">
        <v>33</v>
      </c>
      <c r="J2" s="8" t="n">
        <v>27</v>
      </c>
      <c r="K2" s="6" t="s">
        <v>29</v>
      </c>
      <c r="L2" s="9" t="s">
        <v>34</v>
      </c>
      <c r="M2" s="9" t="s">
        <v>35</v>
      </c>
      <c r="N2" s="9" t="s">
        <v>36</v>
      </c>
      <c r="O2" s="10" t="s">
        <v>37</v>
      </c>
      <c r="P2" s="11" t="s">
        <v>38</v>
      </c>
      <c r="Q2" s="12" t="s">
        <v>39</v>
      </c>
      <c r="R2" s="12" t="s">
        <v>40</v>
      </c>
      <c r="S2" s="11"/>
      <c r="T2" s="12" t="s">
        <v>41</v>
      </c>
      <c r="U2" s="11" t="s">
        <v>42</v>
      </c>
      <c r="V2" s="12" t="s">
        <v>43</v>
      </c>
      <c r="W2" s="12" t="s">
        <v>44</v>
      </c>
      <c r="X2" s="12" t="s">
        <v>45</v>
      </c>
      <c r="Y2" s="12" t="s">
        <v>46</v>
      </c>
      <c r="Z2" s="11" t="s">
        <v>47</v>
      </c>
      <c r="AA2" s="12" t="s">
        <v>43</v>
      </c>
      <c r="AB2" s="13" t="n">
        <v>46098</v>
      </c>
    </row>
    <row r="3" customFormat="false" ht="39.75" hidden="false" customHeight="true" outlineLevel="0" collapsed="false">
      <c r="A3" s="5" t="s">
        <v>48</v>
      </c>
      <c r="B3" s="6" t="s">
        <v>49</v>
      </c>
      <c r="C3" s="6" t="s">
        <v>30</v>
      </c>
      <c r="D3" s="6" t="s">
        <v>31</v>
      </c>
      <c r="E3" s="7" t="n">
        <v>46081</v>
      </c>
      <c r="F3" s="7" t="n">
        <v>46098</v>
      </c>
      <c r="G3" s="6" t="n">
        <v>17</v>
      </c>
      <c r="H3" s="6" t="s">
        <v>50</v>
      </c>
      <c r="I3" s="6" t="s">
        <v>51</v>
      </c>
      <c r="J3" s="8" t="n">
        <v>9</v>
      </c>
      <c r="K3" s="6" t="s">
        <v>49</v>
      </c>
      <c r="L3" s="9" t="s">
        <v>34</v>
      </c>
      <c r="M3" s="9" t="s">
        <v>35</v>
      </c>
      <c r="N3" s="9" t="s">
        <v>52</v>
      </c>
      <c r="O3" s="10" t="s">
        <v>53</v>
      </c>
      <c r="P3" s="11" t="s">
        <v>54</v>
      </c>
      <c r="Q3" s="12" t="s">
        <v>55</v>
      </c>
      <c r="R3" s="12" t="s">
        <v>43</v>
      </c>
      <c r="S3" s="11" t="s">
        <v>56</v>
      </c>
      <c r="T3" s="12" t="s">
        <v>57</v>
      </c>
      <c r="U3" s="11" t="s">
        <v>56</v>
      </c>
      <c r="V3" s="12" t="s">
        <v>40</v>
      </c>
      <c r="W3" s="12" t="s">
        <v>44</v>
      </c>
      <c r="X3" s="12" t="s">
        <v>45</v>
      </c>
      <c r="Y3" s="12" t="s">
        <v>58</v>
      </c>
      <c r="Z3" s="11" t="s">
        <v>59</v>
      </c>
      <c r="AA3" s="12" t="s">
        <v>43</v>
      </c>
      <c r="AB3" s="13" t="n">
        <v>46098</v>
      </c>
    </row>
    <row r="4" customFormat="false" ht="39.75" hidden="false" customHeight="true" outlineLevel="0" collapsed="false">
      <c r="A4" s="5" t="s">
        <v>60</v>
      </c>
      <c r="B4" s="6" t="s">
        <v>61</v>
      </c>
      <c r="C4" s="6" t="s">
        <v>30</v>
      </c>
      <c r="D4" s="6" t="s">
        <v>62</v>
      </c>
      <c r="E4" s="7" t="n">
        <v>46063</v>
      </c>
      <c r="F4" s="7" t="n">
        <v>46098</v>
      </c>
      <c r="G4" s="6" t="n">
        <v>35</v>
      </c>
      <c r="H4" s="6" t="s">
        <v>63</v>
      </c>
      <c r="I4" s="6" t="s">
        <v>51</v>
      </c>
      <c r="J4" s="8" t="n">
        <v>7</v>
      </c>
      <c r="K4" s="6" t="s">
        <v>61</v>
      </c>
      <c r="L4" s="9" t="s">
        <v>34</v>
      </c>
      <c r="M4" s="9" t="s">
        <v>64</v>
      </c>
      <c r="N4" s="9" t="s">
        <v>39</v>
      </c>
      <c r="O4" s="10" t="s">
        <v>65</v>
      </c>
      <c r="P4" s="11" t="s">
        <v>66</v>
      </c>
      <c r="Q4" s="12" t="s">
        <v>39</v>
      </c>
      <c r="R4" s="12" t="s">
        <v>43</v>
      </c>
      <c r="S4" s="11" t="s">
        <v>67</v>
      </c>
      <c r="T4" s="12" t="s">
        <v>41</v>
      </c>
      <c r="U4" s="11" t="s">
        <v>68</v>
      </c>
      <c r="V4" s="12" t="s">
        <v>43</v>
      </c>
      <c r="W4" s="12" t="s">
        <v>44</v>
      </c>
      <c r="X4" s="12" t="s">
        <v>69</v>
      </c>
      <c r="Y4" s="12"/>
      <c r="Z4" s="11" t="s">
        <v>70</v>
      </c>
      <c r="AA4" s="12" t="s">
        <v>43</v>
      </c>
      <c r="AB4" s="13" t="n">
        <v>46098</v>
      </c>
    </row>
    <row r="5" customFormat="false" ht="39.75" hidden="false" customHeight="true" outlineLevel="0" collapsed="false">
      <c r="A5" s="5" t="s">
        <v>71</v>
      </c>
      <c r="B5" s="6" t="s">
        <v>72</v>
      </c>
      <c r="C5" s="6" t="s">
        <v>30</v>
      </c>
      <c r="D5" s="6" t="s">
        <v>73</v>
      </c>
      <c r="E5" s="7" t="n">
        <v>46083</v>
      </c>
      <c r="F5" s="7" t="n">
        <v>46098</v>
      </c>
      <c r="G5" s="6" t="n">
        <v>15</v>
      </c>
      <c r="H5" s="6" t="s">
        <v>63</v>
      </c>
      <c r="I5" s="6" t="s">
        <v>51</v>
      </c>
      <c r="J5" s="6" t="n">
        <v>2</v>
      </c>
      <c r="K5" s="6" t="s">
        <v>72</v>
      </c>
      <c r="L5" s="9" t="s">
        <v>34</v>
      </c>
      <c r="M5" s="9" t="s">
        <v>35</v>
      </c>
      <c r="N5" s="9" t="s">
        <v>39</v>
      </c>
      <c r="O5" s="10" t="s">
        <v>74</v>
      </c>
      <c r="P5" s="11"/>
      <c r="Q5" s="12" t="s">
        <v>39</v>
      </c>
      <c r="R5" s="12" t="s">
        <v>40</v>
      </c>
      <c r="S5" s="11"/>
      <c r="T5" s="12" t="s">
        <v>41</v>
      </c>
      <c r="U5" s="11" t="s">
        <v>75</v>
      </c>
      <c r="V5" s="12" t="s">
        <v>43</v>
      </c>
      <c r="W5" s="12" t="s">
        <v>44</v>
      </c>
      <c r="X5" s="12" t="s">
        <v>45</v>
      </c>
      <c r="Y5" s="12"/>
      <c r="Z5" s="11" t="s">
        <v>76</v>
      </c>
      <c r="AA5" s="12" t="s">
        <v>43</v>
      </c>
      <c r="AB5" s="13" t="n">
        <v>46098</v>
      </c>
    </row>
    <row r="6" customFormat="false" ht="39.75" hidden="false" customHeight="true" outlineLevel="0" collapsed="false">
      <c r="A6" s="5" t="s">
        <v>77</v>
      </c>
      <c r="B6" s="6" t="s">
        <v>78</v>
      </c>
      <c r="C6" s="6" t="s">
        <v>30</v>
      </c>
      <c r="D6" s="6" t="s">
        <v>73</v>
      </c>
      <c r="E6" s="7" t="n">
        <v>46086</v>
      </c>
      <c r="F6" s="7" t="n">
        <v>46098</v>
      </c>
      <c r="G6" s="6" t="n">
        <v>12</v>
      </c>
      <c r="H6" s="6" t="s">
        <v>32</v>
      </c>
      <c r="I6" s="6" t="s">
        <v>51</v>
      </c>
      <c r="J6" s="6" t="n">
        <v>1</v>
      </c>
      <c r="K6" s="6" t="s">
        <v>78</v>
      </c>
      <c r="L6" s="9" t="s">
        <v>34</v>
      </c>
      <c r="M6" s="9" t="s">
        <v>35</v>
      </c>
      <c r="N6" s="9" t="s">
        <v>39</v>
      </c>
      <c r="O6" s="10" t="s">
        <v>79</v>
      </c>
      <c r="P6" s="11" t="s">
        <v>80</v>
      </c>
      <c r="Q6" s="12" t="s">
        <v>39</v>
      </c>
      <c r="R6" s="12" t="s">
        <v>40</v>
      </c>
      <c r="S6" s="11"/>
      <c r="T6" s="12" t="s">
        <v>41</v>
      </c>
      <c r="U6" s="11" t="s">
        <v>81</v>
      </c>
      <c r="V6" s="12" t="s">
        <v>43</v>
      </c>
      <c r="W6" s="12" t="s">
        <v>44</v>
      </c>
      <c r="X6" s="12" t="s">
        <v>45</v>
      </c>
      <c r="Y6" s="12" t="s">
        <v>82</v>
      </c>
      <c r="Z6" s="11" t="s">
        <v>83</v>
      </c>
      <c r="AA6" s="12" t="s">
        <v>43</v>
      </c>
      <c r="AB6" s="13" t="n">
        <v>46098</v>
      </c>
    </row>
    <row r="7" customFormat="false" ht="39.75" hidden="false" customHeight="true" outlineLevel="0" collapsed="false">
      <c r="A7" s="5" t="s">
        <v>84</v>
      </c>
      <c r="B7" s="6" t="s">
        <v>85</v>
      </c>
      <c r="C7" s="6" t="s">
        <v>30</v>
      </c>
      <c r="D7" s="6" t="s">
        <v>73</v>
      </c>
      <c r="E7" s="7" t="n">
        <v>46092</v>
      </c>
      <c r="F7" s="7" t="n">
        <v>46098</v>
      </c>
      <c r="G7" s="6" t="n">
        <v>6</v>
      </c>
      <c r="H7" s="6" t="s">
        <v>32</v>
      </c>
      <c r="I7" s="6" t="s">
        <v>51</v>
      </c>
      <c r="J7" s="6" t="n">
        <v>1</v>
      </c>
      <c r="K7" s="6" t="s">
        <v>85</v>
      </c>
      <c r="L7" s="9" t="s">
        <v>34</v>
      </c>
      <c r="M7" s="9" t="s">
        <v>35</v>
      </c>
      <c r="N7" s="9" t="s">
        <v>86</v>
      </c>
      <c r="O7" s="10" t="s">
        <v>87</v>
      </c>
      <c r="P7" s="11" t="s">
        <v>88</v>
      </c>
      <c r="Q7" s="12" t="s">
        <v>39</v>
      </c>
      <c r="R7" s="12" t="s">
        <v>40</v>
      </c>
      <c r="S7" s="11"/>
      <c r="T7" s="12" t="s">
        <v>41</v>
      </c>
      <c r="U7" s="11" t="s">
        <v>89</v>
      </c>
      <c r="V7" s="12" t="s">
        <v>43</v>
      </c>
      <c r="W7" s="12" t="s">
        <v>44</v>
      </c>
      <c r="X7" s="12" t="s">
        <v>45</v>
      </c>
      <c r="Y7" s="12" t="s">
        <v>90</v>
      </c>
      <c r="Z7" s="11" t="s">
        <v>91</v>
      </c>
      <c r="AA7" s="12" t="s">
        <v>43</v>
      </c>
      <c r="AB7" s="13" t="n">
        <v>46098</v>
      </c>
    </row>
    <row r="8" customFormat="false" ht="39.75" hidden="false" customHeight="true" outlineLevel="0" collapsed="false">
      <c r="A8" s="5" t="s">
        <v>92</v>
      </c>
      <c r="B8" s="6" t="s">
        <v>93</v>
      </c>
      <c r="C8" s="6" t="s">
        <v>30</v>
      </c>
      <c r="D8" s="6" t="s">
        <v>73</v>
      </c>
      <c r="E8" s="7" t="n">
        <v>46087</v>
      </c>
      <c r="F8" s="7" t="n">
        <v>46098</v>
      </c>
      <c r="G8" s="6" t="n">
        <v>11</v>
      </c>
      <c r="H8" s="6" t="s">
        <v>63</v>
      </c>
      <c r="I8" s="6"/>
      <c r="J8" s="6" t="n">
        <v>1</v>
      </c>
      <c r="K8" s="6" t="s">
        <v>93</v>
      </c>
      <c r="L8" s="9" t="s">
        <v>34</v>
      </c>
      <c r="M8" s="9" t="s">
        <v>94</v>
      </c>
      <c r="N8" s="9" t="s">
        <v>86</v>
      </c>
      <c r="O8" s="10" t="s">
        <v>95</v>
      </c>
      <c r="P8" s="11" t="s">
        <v>96</v>
      </c>
      <c r="Q8" s="12" t="s">
        <v>36</v>
      </c>
      <c r="R8" s="12" t="s">
        <v>40</v>
      </c>
      <c r="S8" s="11"/>
      <c r="T8" s="12" t="s">
        <v>41</v>
      </c>
      <c r="U8" s="11"/>
      <c r="V8" s="12"/>
      <c r="W8" s="12" t="s">
        <v>44</v>
      </c>
      <c r="X8" s="12" t="s">
        <v>45</v>
      </c>
      <c r="Y8" s="12" t="s">
        <v>97</v>
      </c>
      <c r="Z8" s="11" t="s">
        <v>98</v>
      </c>
      <c r="AA8" s="12" t="s">
        <v>43</v>
      </c>
      <c r="AB8" s="13" t="n">
        <v>46098</v>
      </c>
    </row>
    <row r="9" customFormat="false" ht="39.75" hidden="false" customHeight="true" outlineLevel="0" collapsed="false">
      <c r="A9" s="5" t="s">
        <v>99</v>
      </c>
      <c r="B9" s="6" t="s">
        <v>100</v>
      </c>
      <c r="C9" s="6" t="s">
        <v>30</v>
      </c>
      <c r="D9" s="6" t="s">
        <v>73</v>
      </c>
      <c r="E9" s="7" t="n">
        <v>46084</v>
      </c>
      <c r="F9" s="7" t="n">
        <v>46092</v>
      </c>
      <c r="G9" s="6" t="n">
        <v>8</v>
      </c>
      <c r="H9" s="6" t="s">
        <v>101</v>
      </c>
      <c r="I9" s="6" t="s">
        <v>102</v>
      </c>
      <c r="J9" s="8" t="n">
        <v>9</v>
      </c>
      <c r="K9" s="6" t="s">
        <v>100</v>
      </c>
      <c r="L9" s="9" t="s">
        <v>34</v>
      </c>
      <c r="M9" s="9" t="s">
        <v>35</v>
      </c>
      <c r="N9" s="9" t="s">
        <v>39</v>
      </c>
      <c r="O9" s="10" t="s">
        <v>103</v>
      </c>
      <c r="P9" s="11" t="s">
        <v>104</v>
      </c>
      <c r="Q9" s="12" t="s">
        <v>39</v>
      </c>
      <c r="R9" s="12" t="s">
        <v>43</v>
      </c>
      <c r="S9" s="11" t="s">
        <v>105</v>
      </c>
      <c r="T9" s="12" t="s">
        <v>41</v>
      </c>
      <c r="U9" s="11" t="s">
        <v>106</v>
      </c>
      <c r="V9" s="12" t="s">
        <v>43</v>
      </c>
      <c r="W9" s="12" t="s">
        <v>44</v>
      </c>
      <c r="X9" s="12" t="s">
        <v>45</v>
      </c>
      <c r="Y9" s="12" t="s">
        <v>107</v>
      </c>
      <c r="Z9" s="11" t="s">
        <v>108</v>
      </c>
      <c r="AA9" s="12" t="s">
        <v>43</v>
      </c>
      <c r="AB9" s="13" t="n">
        <v>46095</v>
      </c>
    </row>
    <row r="10" customFormat="false" ht="39.75" hidden="false" customHeight="true" outlineLevel="0" collapsed="false">
      <c r="A10" s="5" t="s">
        <v>109</v>
      </c>
      <c r="B10" s="6" t="s">
        <v>110</v>
      </c>
      <c r="C10" s="6" t="s">
        <v>30</v>
      </c>
      <c r="D10" s="6" t="s">
        <v>73</v>
      </c>
      <c r="E10" s="7" t="n">
        <v>46074</v>
      </c>
      <c r="F10" s="7" t="n">
        <v>46094</v>
      </c>
      <c r="G10" s="6" t="n">
        <v>20</v>
      </c>
      <c r="H10" s="6" t="s">
        <v>101</v>
      </c>
      <c r="I10" s="6"/>
      <c r="J10" s="14" t="n">
        <v>4</v>
      </c>
      <c r="K10" s="6" t="s">
        <v>110</v>
      </c>
      <c r="L10" s="9" t="s">
        <v>34</v>
      </c>
      <c r="M10" s="9" t="s">
        <v>35</v>
      </c>
      <c r="N10" s="9" t="s">
        <v>111</v>
      </c>
      <c r="O10" s="10" t="s">
        <v>112</v>
      </c>
      <c r="P10" s="11" t="s">
        <v>113</v>
      </c>
      <c r="Q10" s="12" t="s">
        <v>55</v>
      </c>
      <c r="R10" s="12" t="s">
        <v>40</v>
      </c>
      <c r="S10" s="11"/>
      <c r="T10" s="12"/>
      <c r="U10" s="11" t="s">
        <v>114</v>
      </c>
      <c r="V10" s="12" t="s">
        <v>40</v>
      </c>
      <c r="W10" s="12" t="s">
        <v>44</v>
      </c>
      <c r="X10" s="12" t="s">
        <v>45</v>
      </c>
      <c r="Y10" s="12"/>
      <c r="Z10" s="11"/>
      <c r="AA10" s="12" t="s">
        <v>43</v>
      </c>
      <c r="AB10" s="13" t="n">
        <v>46095</v>
      </c>
    </row>
    <row r="11" customFormat="false" ht="39.75" hidden="false" customHeight="true" outlineLevel="0" collapsed="false">
      <c r="A11" s="5" t="s">
        <v>115</v>
      </c>
      <c r="B11" s="6" t="s">
        <v>116</v>
      </c>
      <c r="C11" s="6" t="s">
        <v>30</v>
      </c>
      <c r="D11" s="6" t="s">
        <v>73</v>
      </c>
      <c r="E11" s="7" t="n">
        <v>46078</v>
      </c>
      <c r="F11" s="7" t="n">
        <v>46092</v>
      </c>
      <c r="G11" s="15" t="n">
        <f aca="false">IF(OR(E11="",F11=""),"",INT(F11-E11))</f>
        <v>14</v>
      </c>
      <c r="H11" s="6" t="s">
        <v>117</v>
      </c>
      <c r="I11" s="6" t="s">
        <v>118</v>
      </c>
      <c r="J11" s="6" t="n">
        <v>1</v>
      </c>
      <c r="K11" s="6"/>
      <c r="L11" s="9" t="s">
        <v>119</v>
      </c>
      <c r="M11" s="9"/>
      <c r="N11" s="9" t="s">
        <v>36</v>
      </c>
      <c r="O11" s="10" t="s">
        <v>120</v>
      </c>
      <c r="P11" s="11"/>
      <c r="Q11" s="12"/>
      <c r="R11" s="12" t="s">
        <v>43</v>
      </c>
      <c r="S11" s="11" t="s">
        <v>121</v>
      </c>
      <c r="T11" s="12"/>
      <c r="U11" s="11"/>
      <c r="V11" s="12"/>
      <c r="W11" s="12"/>
      <c r="X11" s="12"/>
      <c r="Y11" s="12"/>
      <c r="Z11" s="11"/>
      <c r="AA11" s="16"/>
      <c r="AB11" s="13" t="n">
        <v>46095</v>
      </c>
    </row>
    <row r="12" customFormat="false" ht="39.75" hidden="false" customHeight="true" outlineLevel="0" collapsed="false">
      <c r="A12" s="5" t="s">
        <v>122</v>
      </c>
      <c r="B12" s="6" t="s">
        <v>123</v>
      </c>
      <c r="C12" s="6" t="s">
        <v>30</v>
      </c>
      <c r="D12" s="6" t="s">
        <v>73</v>
      </c>
      <c r="E12" s="7" t="n">
        <v>46091</v>
      </c>
      <c r="F12" s="7" t="n">
        <v>46092</v>
      </c>
      <c r="G12" s="15" t="n">
        <f aca="false">IF(OR(E12="",F12=""),"",INT(F12-E12))</f>
        <v>1</v>
      </c>
      <c r="H12" s="6" t="s">
        <v>124</v>
      </c>
      <c r="I12" s="6"/>
      <c r="J12" s="6" t="n">
        <v>1</v>
      </c>
      <c r="K12" s="6" t="s">
        <v>123</v>
      </c>
      <c r="L12" s="9" t="s">
        <v>125</v>
      </c>
      <c r="M12" s="9" t="s">
        <v>126</v>
      </c>
      <c r="N12" s="9" t="s">
        <v>36</v>
      </c>
      <c r="O12" s="10" t="s">
        <v>127</v>
      </c>
      <c r="P12" s="11"/>
      <c r="Q12" s="12"/>
      <c r="R12" s="12" t="s">
        <v>43</v>
      </c>
      <c r="S12" s="11" t="s">
        <v>128</v>
      </c>
      <c r="T12" s="12"/>
      <c r="U12" s="11"/>
      <c r="V12" s="12"/>
      <c r="W12" s="12" t="s">
        <v>129</v>
      </c>
      <c r="X12" s="12" t="s">
        <v>130</v>
      </c>
      <c r="Y12" s="12"/>
      <c r="Z12" s="11"/>
      <c r="AA12" s="16"/>
      <c r="AB12" s="13" t="n">
        <v>46095</v>
      </c>
    </row>
    <row r="13" customFormat="false" ht="39.75" hidden="false" customHeight="true" outlineLevel="0" collapsed="false">
      <c r="A13" s="5" t="s">
        <v>131</v>
      </c>
      <c r="B13" s="6" t="s">
        <v>132</v>
      </c>
      <c r="C13" s="6" t="s">
        <v>30</v>
      </c>
      <c r="D13" s="6" t="s">
        <v>73</v>
      </c>
      <c r="E13" s="7" t="n">
        <v>46092</v>
      </c>
      <c r="F13" s="7" t="n">
        <v>46092</v>
      </c>
      <c r="G13" s="15" t="n">
        <f aca="false">IF(OR(E13="",F13=""),"",INT(F13-E13))</f>
        <v>0</v>
      </c>
      <c r="H13" s="6" t="s">
        <v>133</v>
      </c>
      <c r="I13" s="6" t="s">
        <v>133</v>
      </c>
      <c r="J13" s="6" t="n">
        <v>1</v>
      </c>
      <c r="K13" s="6" t="s">
        <v>132</v>
      </c>
      <c r="L13" s="9" t="s">
        <v>134</v>
      </c>
      <c r="M13" s="9" t="s">
        <v>134</v>
      </c>
      <c r="N13" s="9" t="s">
        <v>135</v>
      </c>
      <c r="O13" s="10" t="s">
        <v>136</v>
      </c>
      <c r="P13" s="11"/>
      <c r="Q13" s="12"/>
      <c r="R13" s="12" t="s">
        <v>43</v>
      </c>
      <c r="S13" s="11" t="s">
        <v>137</v>
      </c>
      <c r="T13" s="12"/>
      <c r="U13" s="11"/>
      <c r="V13" s="12"/>
      <c r="W13" s="12"/>
      <c r="X13" s="12"/>
      <c r="Y13" s="12"/>
      <c r="Z13" s="11"/>
      <c r="AA13" s="16"/>
      <c r="AB13" s="13" t="n">
        <v>46095</v>
      </c>
    </row>
    <row r="14" customFormat="false" ht="39.75" hidden="false" customHeight="true" outlineLevel="0" collapsed="false">
      <c r="A14" s="5" t="s">
        <v>138</v>
      </c>
      <c r="B14" s="6" t="s">
        <v>139</v>
      </c>
      <c r="C14" s="6" t="s">
        <v>30</v>
      </c>
      <c r="D14" s="6" t="s">
        <v>73</v>
      </c>
      <c r="E14" s="7" t="n">
        <v>46094</v>
      </c>
      <c r="F14" s="7" t="n">
        <v>46097</v>
      </c>
      <c r="G14" s="15" t="n">
        <f aca="false">IF(OR(E14="",F14=""),"",INT(F14-E14))</f>
        <v>3</v>
      </c>
      <c r="H14" s="6" t="s">
        <v>140</v>
      </c>
      <c r="I14" s="6"/>
      <c r="J14" s="6" t="n">
        <v>1</v>
      </c>
      <c r="K14" s="6" t="s">
        <v>139</v>
      </c>
      <c r="L14" s="9" t="s">
        <v>125</v>
      </c>
      <c r="M14" s="9" t="s">
        <v>141</v>
      </c>
      <c r="N14" s="9" t="s">
        <v>36</v>
      </c>
      <c r="O14" s="10" t="s">
        <v>142</v>
      </c>
      <c r="P14" s="11"/>
      <c r="Q14" s="12"/>
      <c r="R14" s="12" t="s">
        <v>43</v>
      </c>
      <c r="S14" s="11" t="s">
        <v>143</v>
      </c>
      <c r="T14" s="12"/>
      <c r="U14" s="11"/>
      <c r="V14" s="12"/>
      <c r="W14" s="12" t="s">
        <v>144</v>
      </c>
      <c r="X14" s="12" t="s">
        <v>145</v>
      </c>
      <c r="Y14" s="12"/>
      <c r="Z14" s="11"/>
      <c r="AA14" s="16"/>
      <c r="AB14" s="13" t="n">
        <v>46097</v>
      </c>
    </row>
    <row r="15" customFormat="false" ht="39.75" hidden="false" customHeight="true" outlineLevel="0" collapsed="false">
      <c r="A15" s="5" t="s">
        <v>146</v>
      </c>
      <c r="B15" s="6" t="s">
        <v>147</v>
      </c>
      <c r="C15" s="6" t="s">
        <v>30</v>
      </c>
      <c r="D15" s="6" t="s">
        <v>73</v>
      </c>
      <c r="E15" s="7" t="n">
        <v>46093</v>
      </c>
      <c r="F15" s="7" t="n">
        <v>46093</v>
      </c>
      <c r="G15" s="15" t="n">
        <f aca="false">IF(OR(E15="",F15=""),"",INT(F15-E15))</f>
        <v>0</v>
      </c>
      <c r="H15" s="6" t="s">
        <v>148</v>
      </c>
      <c r="I15" s="6" t="s">
        <v>148</v>
      </c>
      <c r="J15" s="6" t="n">
        <v>1</v>
      </c>
      <c r="K15" s="6" t="s">
        <v>147</v>
      </c>
      <c r="L15" s="9" t="s">
        <v>125</v>
      </c>
      <c r="M15" s="9" t="s">
        <v>126</v>
      </c>
      <c r="N15" s="9" t="s">
        <v>36</v>
      </c>
      <c r="O15" s="10" t="s">
        <v>149</v>
      </c>
      <c r="P15" s="11"/>
      <c r="Q15" s="12"/>
      <c r="R15" s="12" t="s">
        <v>43</v>
      </c>
      <c r="S15" s="11" t="s">
        <v>150</v>
      </c>
      <c r="T15" s="12"/>
      <c r="U15" s="11"/>
      <c r="V15" s="12"/>
      <c r="W15" s="12" t="s">
        <v>129</v>
      </c>
      <c r="X15" s="12" t="s">
        <v>130</v>
      </c>
      <c r="Y15" s="12"/>
      <c r="Z15" s="11"/>
      <c r="AA15" s="16"/>
      <c r="AB15" s="13" t="n">
        <v>46095</v>
      </c>
    </row>
    <row r="16" customFormat="false" ht="39.75" hidden="false" customHeight="true" outlineLevel="0" collapsed="false">
      <c r="A16" s="5" t="s">
        <v>151</v>
      </c>
      <c r="B16" s="6" t="s">
        <v>152</v>
      </c>
      <c r="C16" s="6" t="s">
        <v>30</v>
      </c>
      <c r="D16" s="6" t="s">
        <v>73</v>
      </c>
      <c r="E16" s="7" t="n">
        <v>46086</v>
      </c>
      <c r="F16" s="7" t="n">
        <v>46098</v>
      </c>
      <c r="G16" s="15" t="n">
        <f aca="false">IF(OR(E16="",F16=""),"",INT(F16-E16))</f>
        <v>12</v>
      </c>
      <c r="H16" s="6" t="s">
        <v>153</v>
      </c>
      <c r="I16" s="6" t="s">
        <v>51</v>
      </c>
      <c r="J16" s="6" t="n">
        <v>1</v>
      </c>
      <c r="K16" s="6" t="s">
        <v>152</v>
      </c>
      <c r="L16" s="9" t="s">
        <v>125</v>
      </c>
      <c r="M16" s="9" t="s">
        <v>126</v>
      </c>
      <c r="N16" s="9" t="s">
        <v>36</v>
      </c>
      <c r="O16" s="10" t="s">
        <v>154</v>
      </c>
      <c r="P16" s="11"/>
      <c r="Q16" s="12"/>
      <c r="R16" s="12" t="s">
        <v>43</v>
      </c>
      <c r="S16" s="11" t="s">
        <v>155</v>
      </c>
      <c r="T16" s="12"/>
      <c r="U16" s="11"/>
      <c r="V16" s="12"/>
      <c r="W16" s="12" t="s">
        <v>129</v>
      </c>
      <c r="X16" s="12" t="s">
        <v>130</v>
      </c>
      <c r="Y16" s="12"/>
      <c r="Z16" s="11"/>
      <c r="AA16" s="16"/>
      <c r="AB16" s="13" t="n">
        <v>46098</v>
      </c>
    </row>
    <row r="17" customFormat="false" ht="55.4" hidden="false" customHeight="false" outlineLevel="0" collapsed="false">
      <c r="A17" s="5" t="s">
        <v>156</v>
      </c>
      <c r="B17" s="6" t="s">
        <v>157</v>
      </c>
      <c r="C17" s="6" t="s">
        <v>30</v>
      </c>
      <c r="D17" s="6" t="s">
        <v>73</v>
      </c>
      <c r="E17" s="7" t="n">
        <v>46091</v>
      </c>
      <c r="F17" s="7" t="n">
        <v>46093</v>
      </c>
      <c r="G17" s="15" t="n">
        <f aca="false">IF(OR(E17="",F17=""),"",INT(F17-E17))</f>
        <v>2</v>
      </c>
      <c r="H17" s="6" t="s">
        <v>117</v>
      </c>
      <c r="I17" s="6" t="s">
        <v>117</v>
      </c>
      <c r="J17" s="6" t="n">
        <v>0</v>
      </c>
      <c r="K17" s="6"/>
      <c r="L17" s="9" t="s">
        <v>119</v>
      </c>
      <c r="M17" s="9"/>
      <c r="N17" s="9" t="s">
        <v>36</v>
      </c>
      <c r="O17" s="10" t="s">
        <v>158</v>
      </c>
      <c r="P17" s="11"/>
      <c r="Q17" s="12"/>
      <c r="R17" s="12" t="s">
        <v>43</v>
      </c>
      <c r="S17" s="11" t="s">
        <v>159</v>
      </c>
      <c r="T17" s="12"/>
      <c r="U17" s="11"/>
      <c r="V17" s="12"/>
      <c r="W17" s="12"/>
      <c r="X17" s="12"/>
      <c r="Y17" s="12"/>
      <c r="Z17" s="11"/>
      <c r="AA17" s="16"/>
      <c r="AB17" s="13" t="n">
        <v>46095</v>
      </c>
    </row>
    <row r="18" customFormat="false" ht="55.4" hidden="false" customHeight="false" outlineLevel="0" collapsed="false">
      <c r="A18" s="5" t="s">
        <v>160</v>
      </c>
      <c r="B18" s="6" t="s">
        <v>161</v>
      </c>
      <c r="C18" s="6" t="s">
        <v>30</v>
      </c>
      <c r="D18" s="6" t="s">
        <v>73</v>
      </c>
      <c r="E18" s="7" t="n">
        <v>46085</v>
      </c>
      <c r="F18" s="7" t="n">
        <v>46094</v>
      </c>
      <c r="G18" s="15" t="n">
        <f aca="false">IF(OR(E18="",F18=""),"",INT(F18-E18))</f>
        <v>9</v>
      </c>
      <c r="H18" s="6" t="s">
        <v>148</v>
      </c>
      <c r="I18" s="6" t="s">
        <v>148</v>
      </c>
      <c r="J18" s="6" t="n">
        <v>0</v>
      </c>
      <c r="K18" s="6" t="s">
        <v>162</v>
      </c>
      <c r="L18" s="9" t="s">
        <v>134</v>
      </c>
      <c r="M18" s="9" t="s">
        <v>134</v>
      </c>
      <c r="N18" s="9" t="s">
        <v>135</v>
      </c>
      <c r="O18" s="10" t="s">
        <v>163</v>
      </c>
      <c r="P18" s="11"/>
      <c r="Q18" s="12"/>
      <c r="R18" s="12" t="s">
        <v>43</v>
      </c>
      <c r="S18" s="11" t="s">
        <v>164</v>
      </c>
      <c r="T18" s="12"/>
      <c r="U18" s="11"/>
      <c r="V18" s="12"/>
      <c r="W18" s="12"/>
      <c r="X18" s="12"/>
      <c r="Y18" s="12"/>
      <c r="Z18" s="11"/>
      <c r="AA18" s="16"/>
      <c r="AB18" s="13" t="n">
        <v>46095</v>
      </c>
    </row>
  </sheetData>
  <dataValidations count="3">
    <dataValidation allowBlank="true" errorStyle="stop" operator="between" showDropDown="false" showErrorMessage="false" showInputMessage="false" sqref="Q2:Q68" type="list">
      <formula1>"Código,Banco de Dados,Infraestrutura,Terceiros"</formula1>
      <formula2>0</formula2>
    </dataValidation>
    <dataValidation allowBlank="true" errorStyle="stop" operator="between" showDropDown="false" showErrorMessage="false" showInputMessage="false" sqref="R2:R68 V2:V68 AA2:AA68" type="list">
      <formula1>"Sim,Não"</formula1>
      <formula2>0</formula2>
    </dataValidation>
    <dataValidation allowBlank="true" errorStyle="stop" operator="between" showDropDown="false" showErrorMessage="false" showInputMessage="false" sqref="T2:T68" type="list">
      <formula1>"Detectou problema,Não detectou,Não se Aplica"</formula1>
      <formula2>0</formula2>
    </dataValidation>
  </dataValidations>
  <hyperlinks>
    <hyperlink ref="A2" r:id="rId1" display="MODAJOI-100652"/>
    <hyperlink ref="A3" r:id="rId2" display="MODAJOI-100187"/>
    <hyperlink ref="A4" r:id="rId3" display="MODAJOI-99532"/>
    <hyperlink ref="A5" r:id="rId4" display="MODAJOI-100251"/>
    <hyperlink ref="A6" r:id="rId5" display="MODAJOI-100418"/>
    <hyperlink ref="A7" r:id="rId6" display="MODAJOI-100578"/>
    <hyperlink ref="A8" r:id="rId7" display="MODAJOI-100461"/>
    <hyperlink ref="A9" r:id="rId8" display="MODAJOI-100270"/>
    <hyperlink ref="A10" r:id="rId9" display="MODAJOI-99893"/>
    <hyperlink ref="A11" r:id="rId10" display="MODAJOI-100066"/>
    <hyperlink ref="A12" r:id="rId11" display="MODAJOI-100533"/>
    <hyperlink ref="A13" r:id="rId12" display="MODAJOI-100597"/>
    <hyperlink ref="A14" r:id="rId13" display="MODAJOI-100776"/>
    <hyperlink ref="A15" r:id="rId14" display="MODAJOI-100650"/>
    <hyperlink ref="A16" r:id="rId15" display="MODAJOI-100393"/>
    <hyperlink ref="A17" r:id="rId16" display="MODAJOI-100566"/>
    <hyperlink ref="A18" r:id="rId17" display="MODAJOI-10036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5" activeCellId="0" sqref="C1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1" width="45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40"/>
  </cols>
  <sheetData>
    <row r="1" customFormat="false" ht="31.5" hidden="false" customHeight="true" outlineLevel="0" collapsed="false">
      <c r="A1" s="17" t="s">
        <v>165</v>
      </c>
      <c r="B1" s="17" t="s">
        <v>166</v>
      </c>
      <c r="C1" s="17" t="s">
        <v>167</v>
      </c>
      <c r="D1" s="17" t="s">
        <v>12</v>
      </c>
      <c r="E1" s="17" t="s">
        <v>168</v>
      </c>
      <c r="F1" s="17" t="s">
        <v>169</v>
      </c>
      <c r="G1" s="17" t="s">
        <v>170</v>
      </c>
      <c r="H1" s="17" t="s">
        <v>171</v>
      </c>
      <c r="I1" s="17" t="s">
        <v>172</v>
      </c>
    </row>
    <row r="2" customFormat="false" ht="19.5" hidden="false" customHeight="true" outlineLevel="0" collapsed="false">
      <c r="A2" s="18" t="s">
        <v>46</v>
      </c>
      <c r="B2" s="19" t="s">
        <v>28</v>
      </c>
      <c r="C2" s="20" t="s">
        <v>173</v>
      </c>
      <c r="D2" s="20" t="s">
        <v>174</v>
      </c>
      <c r="E2" s="21" t="s">
        <v>175</v>
      </c>
      <c r="F2" s="20" t="s">
        <v>176</v>
      </c>
      <c r="G2" s="20"/>
      <c r="H2" s="20"/>
      <c r="I2" s="21" t="s">
        <v>177</v>
      </c>
    </row>
    <row r="3" customFormat="false" ht="19.5" hidden="false" customHeight="true" outlineLevel="0" collapsed="false">
      <c r="A3" s="18" t="s">
        <v>178</v>
      </c>
      <c r="B3" s="19" t="s">
        <v>99</v>
      </c>
      <c r="C3" s="20" t="s">
        <v>179</v>
      </c>
      <c r="D3" s="20" t="s">
        <v>174</v>
      </c>
      <c r="E3" s="21" t="s">
        <v>175</v>
      </c>
      <c r="F3" s="20" t="s">
        <v>180</v>
      </c>
      <c r="G3" s="20"/>
      <c r="H3" s="20"/>
      <c r="I3" s="21"/>
    </row>
    <row r="4" customFormat="false" ht="19.5" hidden="false" customHeight="true" outlineLevel="0" collapsed="false">
      <c r="A4" s="18" t="s">
        <v>82</v>
      </c>
      <c r="B4" s="19" t="s">
        <v>77</v>
      </c>
      <c r="C4" s="20" t="s">
        <v>181</v>
      </c>
      <c r="D4" s="20" t="s">
        <v>34</v>
      </c>
      <c r="E4" s="21" t="s">
        <v>182</v>
      </c>
      <c r="F4" s="20" t="s">
        <v>180</v>
      </c>
      <c r="G4" s="20"/>
      <c r="H4" s="20"/>
      <c r="I4" s="21"/>
    </row>
    <row r="5" customFormat="false" ht="19.5" hidden="false" customHeight="true" outlineLevel="0" collapsed="false">
      <c r="A5" s="18" t="s">
        <v>90</v>
      </c>
      <c r="B5" s="19" t="s">
        <v>84</v>
      </c>
      <c r="C5" s="20" t="s">
        <v>181</v>
      </c>
      <c r="D5" s="20" t="s">
        <v>34</v>
      </c>
      <c r="E5" s="21" t="s">
        <v>183</v>
      </c>
      <c r="F5" s="20" t="s">
        <v>176</v>
      </c>
      <c r="G5" s="20"/>
      <c r="H5" s="20"/>
      <c r="I5" s="21"/>
    </row>
    <row r="6" customFormat="false" ht="19.5" hidden="false" customHeight="true" outlineLevel="0" collapsed="false">
      <c r="A6" s="18" t="s">
        <v>97</v>
      </c>
      <c r="B6" s="19" t="s">
        <v>92</v>
      </c>
      <c r="C6" s="20" t="s">
        <v>184</v>
      </c>
      <c r="D6" s="20" t="s">
        <v>174</v>
      </c>
      <c r="E6" s="21" t="s">
        <v>185</v>
      </c>
      <c r="F6" s="20" t="s">
        <v>176</v>
      </c>
      <c r="G6" s="20"/>
      <c r="H6" s="20"/>
      <c r="I6" s="21"/>
    </row>
    <row r="7" customFormat="false" ht="19.5" hidden="false" customHeight="true" outlineLevel="0" collapsed="false">
      <c r="A7" s="18" t="s">
        <v>58</v>
      </c>
      <c r="B7" s="19" t="s">
        <v>48</v>
      </c>
      <c r="C7" s="20" t="s">
        <v>184</v>
      </c>
      <c r="D7" s="20" t="s">
        <v>174</v>
      </c>
      <c r="E7" s="21" t="s">
        <v>186</v>
      </c>
      <c r="F7" s="20" t="s">
        <v>180</v>
      </c>
      <c r="G7" s="20"/>
      <c r="H7" s="20"/>
      <c r="I7" s="21" t="s">
        <v>187</v>
      </c>
    </row>
    <row r="8" customFormat="false" ht="19.5" hidden="false" customHeight="true" outlineLevel="0" collapsed="false">
      <c r="A8" s="22"/>
      <c r="B8" s="22"/>
      <c r="C8" s="22"/>
      <c r="D8" s="22"/>
      <c r="E8" s="23"/>
      <c r="F8" s="22"/>
      <c r="G8" s="22"/>
      <c r="H8" s="22"/>
      <c r="I8" s="22"/>
    </row>
    <row r="9" customFormat="false" ht="19.5" hidden="false" customHeight="true" outlineLevel="0" collapsed="false">
      <c r="A9" s="22"/>
      <c r="B9" s="22"/>
      <c r="C9" s="22"/>
      <c r="D9" s="22"/>
      <c r="E9" s="23"/>
      <c r="F9" s="22"/>
      <c r="G9" s="22"/>
      <c r="H9" s="22"/>
      <c r="I9" s="22"/>
    </row>
    <row r="10" customFormat="false" ht="19.5" hidden="false" customHeight="true" outlineLevel="0" collapsed="false">
      <c r="A10" s="22"/>
      <c r="B10" s="22"/>
      <c r="C10" s="22"/>
      <c r="D10" s="22"/>
      <c r="E10" s="23"/>
      <c r="F10" s="22"/>
      <c r="G10" s="22"/>
      <c r="H10" s="22"/>
      <c r="I10" s="22"/>
    </row>
    <row r="11" customFormat="false" ht="19.5" hidden="false" customHeight="true" outlineLevel="0" collapsed="false">
      <c r="A11" s="22"/>
      <c r="B11" s="22"/>
      <c r="C11" s="22"/>
      <c r="D11" s="22"/>
      <c r="E11" s="23"/>
      <c r="F11" s="22"/>
      <c r="G11" s="22"/>
      <c r="H11" s="22"/>
      <c r="I11" s="22"/>
    </row>
    <row r="12" customFormat="false" ht="19.5" hidden="false" customHeight="true" outlineLevel="0" collapsed="false">
      <c r="A12" s="22"/>
      <c r="B12" s="22"/>
      <c r="C12" s="22"/>
      <c r="D12" s="22"/>
      <c r="E12" s="23"/>
      <c r="F12" s="22"/>
      <c r="G12" s="22"/>
      <c r="H12" s="22"/>
      <c r="I12" s="22"/>
    </row>
    <row r="13" customFormat="false" ht="19.5" hidden="false" customHeight="true" outlineLevel="0" collapsed="false">
      <c r="A13" s="22"/>
      <c r="B13" s="22"/>
      <c r="C13" s="22"/>
      <c r="D13" s="22"/>
      <c r="E13" s="23"/>
      <c r="F13" s="22"/>
      <c r="G13" s="22"/>
      <c r="H13" s="22"/>
      <c r="I13" s="22"/>
    </row>
    <row r="14" customFormat="false" ht="19.5" hidden="false" customHeight="true" outlineLevel="0" collapsed="false">
      <c r="A14" s="22"/>
      <c r="B14" s="22"/>
      <c r="C14" s="22"/>
      <c r="D14" s="22"/>
      <c r="E14" s="23"/>
      <c r="F14" s="22"/>
      <c r="G14" s="22"/>
      <c r="H14" s="22"/>
      <c r="I14" s="22"/>
    </row>
    <row r="15" customFormat="false" ht="19.5" hidden="false" customHeight="true" outlineLevel="0" collapsed="false">
      <c r="A15" s="22"/>
      <c r="B15" s="22"/>
      <c r="C15" s="22"/>
      <c r="D15" s="22"/>
      <c r="E15" s="23"/>
      <c r="F15" s="22"/>
      <c r="G15" s="22"/>
      <c r="H15" s="22"/>
      <c r="I15" s="22"/>
    </row>
    <row r="16" customFormat="false" ht="19.5" hidden="false" customHeight="true" outlineLevel="0" collapsed="false">
      <c r="A16" s="22"/>
      <c r="B16" s="22"/>
      <c r="C16" s="22"/>
      <c r="D16" s="22"/>
      <c r="E16" s="23"/>
      <c r="F16" s="22"/>
      <c r="G16" s="22"/>
      <c r="H16" s="22"/>
      <c r="I16" s="22"/>
    </row>
    <row r="17" customFormat="false" ht="19.5" hidden="false" customHeight="true" outlineLevel="0" collapsed="false">
      <c r="A17" s="22"/>
      <c r="B17" s="22"/>
      <c r="C17" s="22"/>
      <c r="D17" s="22"/>
      <c r="E17" s="23"/>
      <c r="F17" s="22"/>
      <c r="G17" s="22"/>
      <c r="H17" s="22"/>
      <c r="I17" s="22"/>
    </row>
    <row r="18" customFormat="false" ht="19.5" hidden="false" customHeight="true" outlineLevel="0" collapsed="false">
      <c r="A18" s="22"/>
      <c r="B18" s="22"/>
      <c r="C18" s="22"/>
      <c r="D18" s="22"/>
      <c r="E18" s="23"/>
      <c r="F18" s="22"/>
      <c r="G18" s="22"/>
      <c r="H18" s="22"/>
      <c r="I18" s="22"/>
    </row>
  </sheetData>
  <dataValidations count="2">
    <dataValidation allowBlank="true" errorStyle="stop" operator="between" showDropDown="false" showErrorMessage="false" showInputMessage="false" sqref="F2:F57" type="list">
      <formula1>"Análise,Andamento,Bloqueado,Concluído"</formula1>
      <formula2>0</formula2>
    </dataValidation>
    <dataValidation allowBlank="true" errorStyle="stop" operator="between" showDropDown="false" showErrorMessage="false" showInputMessage="false" sqref="D2:D57" type="list">
      <formula1>"FFC,FatInt,SupCrmImp,RC"</formula1>
      <formula2>0</formula2>
    </dataValidation>
  </dataValidations>
  <hyperlinks>
    <hyperlink ref="B2" r:id="rId1" display="MODAJOI-100652"/>
    <hyperlink ref="B3" r:id="rId2" display="MODAJOI-100270"/>
    <hyperlink ref="B4" r:id="rId3" display="MODAJOI-100418"/>
    <hyperlink ref="B5" r:id="rId4" display="MODAJOI-100578"/>
    <hyperlink ref="B6" r:id="rId5" display="MODAJOI-100461"/>
    <hyperlink ref="B7" r:id="rId6" display="MODAJOI-10018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40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6"/>
  </cols>
  <sheetData>
    <row r="1" customFormat="false" ht="31.5" hidden="false" customHeight="true" outlineLevel="0" collapsed="false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9</v>
      </c>
      <c r="H1" s="24" t="s">
        <v>10</v>
      </c>
      <c r="I1" s="24" t="s">
        <v>11</v>
      </c>
      <c r="J1" s="24" t="s">
        <v>13</v>
      </c>
      <c r="K1" s="24" t="s">
        <v>15</v>
      </c>
      <c r="L1" s="24" t="s">
        <v>16</v>
      </c>
      <c r="M1" s="24" t="s">
        <v>21</v>
      </c>
      <c r="N1" s="24" t="s">
        <v>27</v>
      </c>
      <c r="O1" s="24" t="s">
        <v>188</v>
      </c>
    </row>
    <row r="4" customFormat="false" ht="15" hidden="false" customHeight="false" outlineLevel="0" collapsed="false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</sheetData>
  <mergeCells count="1">
    <mergeCell ref="A4:O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22"/>
  </cols>
  <sheetData>
    <row r="1" customFormat="false" ht="31.5" hidden="false" customHeight="true" outlineLevel="0" collapsed="false">
      <c r="A1" s="26" t="s">
        <v>11</v>
      </c>
      <c r="B1" s="26" t="s">
        <v>12</v>
      </c>
      <c r="C1" s="26" t="s">
        <v>22</v>
      </c>
      <c r="D1" s="26" t="s">
        <v>190</v>
      </c>
      <c r="E1" s="26" t="s">
        <v>23</v>
      </c>
      <c r="F1" s="26" t="s">
        <v>191</v>
      </c>
    </row>
    <row r="2" customFormat="false" ht="15" hidden="false" customHeight="false" outlineLevel="0" collapsed="false">
      <c r="A2" s="27" t="s">
        <v>119</v>
      </c>
      <c r="B2" s="27" t="s">
        <v>192</v>
      </c>
      <c r="C2" s="27" t="s">
        <v>193</v>
      </c>
      <c r="D2" s="27" t="s">
        <v>194</v>
      </c>
      <c r="E2" s="27" t="s">
        <v>195</v>
      </c>
      <c r="F2" s="27" t="s">
        <v>196</v>
      </c>
    </row>
    <row r="3" customFormat="false" ht="15" hidden="false" customHeight="false" outlineLevel="0" collapsed="false">
      <c r="A3" s="28" t="s">
        <v>119</v>
      </c>
      <c r="B3" s="28" t="s">
        <v>197</v>
      </c>
      <c r="C3" s="28" t="s">
        <v>198</v>
      </c>
      <c r="D3" s="28" t="s">
        <v>194</v>
      </c>
      <c r="E3" s="28" t="s">
        <v>196</v>
      </c>
      <c r="F3" s="28" t="s">
        <v>199</v>
      </c>
    </row>
    <row r="4" customFormat="false" ht="15" hidden="false" customHeight="false" outlineLevel="0" collapsed="false">
      <c r="A4" s="27" t="s">
        <v>119</v>
      </c>
      <c r="B4" s="27" t="s">
        <v>200</v>
      </c>
      <c r="C4" s="27" t="s">
        <v>194</v>
      </c>
      <c r="D4" s="27" t="s">
        <v>193</v>
      </c>
      <c r="E4" s="27" t="s">
        <v>201</v>
      </c>
      <c r="F4" s="27" t="s">
        <v>202</v>
      </c>
    </row>
    <row r="5" customFormat="false" ht="15" hidden="false" customHeight="false" outlineLevel="0" collapsed="false">
      <c r="A5" s="28" t="s">
        <v>125</v>
      </c>
      <c r="B5" s="28" t="s">
        <v>203</v>
      </c>
      <c r="C5" s="28" t="s">
        <v>144</v>
      </c>
      <c r="D5" s="28"/>
      <c r="E5" s="28"/>
      <c r="F5" s="28"/>
    </row>
    <row r="6" customFormat="false" ht="15" hidden="false" customHeight="false" outlineLevel="0" collapsed="false">
      <c r="A6" s="27" t="s">
        <v>125</v>
      </c>
      <c r="B6" s="27" t="s">
        <v>141</v>
      </c>
      <c r="C6" s="27" t="s">
        <v>144</v>
      </c>
      <c r="D6" s="27"/>
      <c r="E6" s="27" t="s">
        <v>145</v>
      </c>
      <c r="F6" s="27"/>
    </row>
    <row r="7" customFormat="false" ht="15" hidden="false" customHeight="false" outlineLevel="0" collapsed="false">
      <c r="A7" s="28" t="s">
        <v>125</v>
      </c>
      <c r="B7" s="28" t="s">
        <v>126</v>
      </c>
      <c r="C7" s="28" t="s">
        <v>129</v>
      </c>
      <c r="D7" s="28"/>
      <c r="E7" s="28" t="s">
        <v>130</v>
      </c>
      <c r="F7" s="28"/>
    </row>
    <row r="8" customFormat="false" ht="15" hidden="false" customHeight="false" outlineLevel="0" collapsed="false">
      <c r="A8" s="27" t="s">
        <v>125</v>
      </c>
      <c r="B8" s="27" t="s">
        <v>204</v>
      </c>
      <c r="C8" s="27" t="s">
        <v>129</v>
      </c>
      <c r="D8" s="27"/>
      <c r="E8" s="27" t="s">
        <v>130</v>
      </c>
      <c r="F8" s="27"/>
    </row>
    <row r="9" customFormat="false" ht="15" hidden="false" customHeight="false" outlineLevel="0" collapsed="false">
      <c r="A9" s="28" t="s">
        <v>125</v>
      </c>
      <c r="B9" s="28" t="s">
        <v>205</v>
      </c>
      <c r="C9" s="28" t="s">
        <v>129</v>
      </c>
      <c r="D9" s="28"/>
      <c r="E9" s="28" t="s">
        <v>130</v>
      </c>
      <c r="F9" s="28"/>
    </row>
    <row r="10" customFormat="false" ht="15" hidden="false" customHeight="false" outlineLevel="0" collapsed="false">
      <c r="A10" s="27" t="s">
        <v>34</v>
      </c>
      <c r="B10" s="27" t="s">
        <v>94</v>
      </c>
      <c r="C10" s="27" t="s">
        <v>206</v>
      </c>
      <c r="D10" s="27" t="s">
        <v>44</v>
      </c>
      <c r="E10" s="27" t="s">
        <v>207</v>
      </c>
      <c r="F10" s="27"/>
    </row>
    <row r="11" customFormat="false" ht="15" hidden="false" customHeight="false" outlineLevel="0" collapsed="false">
      <c r="A11" s="28" t="s">
        <v>34</v>
      </c>
      <c r="B11" s="28" t="s">
        <v>35</v>
      </c>
      <c r="C11" s="28" t="s">
        <v>44</v>
      </c>
      <c r="D11" s="28" t="s">
        <v>206</v>
      </c>
      <c r="E11" s="28" t="s">
        <v>45</v>
      </c>
      <c r="F11" s="28"/>
    </row>
    <row r="12" customFormat="false" ht="15" hidden="false" customHeight="false" outlineLevel="0" collapsed="false">
      <c r="A12" s="27" t="s">
        <v>34</v>
      </c>
      <c r="B12" s="27" t="s">
        <v>208</v>
      </c>
      <c r="C12" s="27" t="s">
        <v>209</v>
      </c>
      <c r="D12" s="27" t="s">
        <v>44</v>
      </c>
      <c r="E12" s="27" t="s">
        <v>207</v>
      </c>
      <c r="F12" s="27" t="s">
        <v>210</v>
      </c>
    </row>
    <row r="13" customFormat="false" ht="15" hidden="false" customHeight="false" outlineLevel="0" collapsed="false">
      <c r="A13" s="28" t="s">
        <v>34</v>
      </c>
      <c r="B13" s="28" t="s">
        <v>211</v>
      </c>
      <c r="C13" s="28" t="s">
        <v>44</v>
      </c>
      <c r="D13" s="28" t="s">
        <v>209</v>
      </c>
      <c r="E13" s="28" t="s">
        <v>45</v>
      </c>
      <c r="F13" s="28" t="s">
        <v>212</v>
      </c>
    </row>
    <row r="14" customFormat="false" ht="15" hidden="false" customHeight="false" outlineLevel="0" collapsed="false">
      <c r="A14" s="27" t="s">
        <v>34</v>
      </c>
      <c r="B14" s="27" t="s">
        <v>213</v>
      </c>
      <c r="C14" s="27" t="s">
        <v>206</v>
      </c>
      <c r="D14" s="27"/>
      <c r="E14" s="27" t="s">
        <v>214</v>
      </c>
      <c r="F14" s="27" t="s">
        <v>207</v>
      </c>
    </row>
    <row r="15" customFormat="false" ht="15" hidden="false" customHeight="false" outlineLevel="0" collapsed="false">
      <c r="A15" s="28" t="s">
        <v>34</v>
      </c>
      <c r="B15" s="28" t="s">
        <v>215</v>
      </c>
      <c r="C15" s="28" t="s">
        <v>206</v>
      </c>
      <c r="D15" s="28" t="s">
        <v>44</v>
      </c>
      <c r="E15" s="28" t="s">
        <v>216</v>
      </c>
      <c r="F15" s="28"/>
    </row>
    <row r="16" customFormat="false" ht="15" hidden="false" customHeight="false" outlineLevel="0" collapsed="false">
      <c r="A16" s="27" t="s">
        <v>34</v>
      </c>
      <c r="B16" s="27" t="s">
        <v>217</v>
      </c>
      <c r="C16" s="27" t="s">
        <v>206</v>
      </c>
      <c r="D16" s="27" t="s">
        <v>209</v>
      </c>
      <c r="E16" s="27" t="s">
        <v>212</v>
      </c>
      <c r="F16" s="27"/>
    </row>
    <row r="17" customFormat="false" ht="15" hidden="false" customHeight="false" outlineLevel="0" collapsed="false">
      <c r="A17" s="28" t="s">
        <v>34</v>
      </c>
      <c r="B17" s="28" t="s">
        <v>218</v>
      </c>
      <c r="C17" s="28" t="s">
        <v>209</v>
      </c>
      <c r="D17" s="28"/>
      <c r="E17" s="28" t="s">
        <v>219</v>
      </c>
      <c r="F17" s="28" t="s">
        <v>216</v>
      </c>
    </row>
    <row r="18" customFormat="false" ht="15" hidden="false" customHeight="false" outlineLevel="0" collapsed="false">
      <c r="A18" s="27" t="s">
        <v>34</v>
      </c>
      <c r="B18" s="27" t="s">
        <v>220</v>
      </c>
      <c r="C18" s="27" t="s">
        <v>44</v>
      </c>
      <c r="D18" s="27" t="s">
        <v>209</v>
      </c>
      <c r="E18" s="27" t="s">
        <v>219</v>
      </c>
      <c r="F18" s="27"/>
    </row>
    <row r="19" customFormat="false" ht="15" hidden="false" customHeight="false" outlineLevel="0" collapsed="false">
      <c r="A19" s="28" t="s">
        <v>34</v>
      </c>
      <c r="B19" s="28" t="s">
        <v>221</v>
      </c>
      <c r="C19" s="28" t="s">
        <v>206</v>
      </c>
      <c r="D19" s="28" t="s">
        <v>44</v>
      </c>
      <c r="E19" s="28" t="s">
        <v>210</v>
      </c>
      <c r="F19" s="28"/>
    </row>
    <row r="20" customFormat="false" ht="15" hidden="false" customHeight="false" outlineLevel="0" collapsed="false">
      <c r="A20" s="27" t="s">
        <v>34</v>
      </c>
      <c r="B20" s="27" t="s">
        <v>222</v>
      </c>
      <c r="C20" s="27" t="s">
        <v>209</v>
      </c>
      <c r="D20" s="27"/>
      <c r="E20" s="27" t="s">
        <v>216</v>
      </c>
      <c r="F20" s="27"/>
    </row>
    <row r="21" customFormat="false" ht="15" hidden="false" customHeight="false" outlineLevel="0" collapsed="false">
      <c r="A21" s="28" t="s">
        <v>34</v>
      </c>
      <c r="B21" s="28" t="s">
        <v>223</v>
      </c>
      <c r="C21" s="28" t="s">
        <v>44</v>
      </c>
      <c r="D21" s="28" t="s">
        <v>206</v>
      </c>
      <c r="E21" s="28" t="s">
        <v>212</v>
      </c>
      <c r="F21" s="28"/>
    </row>
    <row r="22" customFormat="false" ht="15" hidden="false" customHeight="false" outlineLevel="0" collapsed="false">
      <c r="A22" s="27" t="s">
        <v>34</v>
      </c>
      <c r="B22" s="27" t="s">
        <v>64</v>
      </c>
      <c r="C22" s="27" t="s">
        <v>44</v>
      </c>
      <c r="D22" s="27"/>
      <c r="E22" s="27" t="s">
        <v>69</v>
      </c>
      <c r="F22" s="27"/>
    </row>
    <row r="23" customFormat="false" ht="15" hidden="false" customHeight="false" outlineLevel="0" collapsed="false">
      <c r="A23" s="28" t="s">
        <v>34</v>
      </c>
      <c r="B23" s="28" t="s">
        <v>111</v>
      </c>
      <c r="C23" s="28" t="s">
        <v>209</v>
      </c>
      <c r="D23" s="28" t="s">
        <v>206</v>
      </c>
      <c r="E23" s="28" t="s">
        <v>69</v>
      </c>
      <c r="F23" s="28"/>
    </row>
    <row r="25" customFormat="false" ht="15" hidden="false" customHeight="false" outlineLevel="0" collapsed="false">
      <c r="A25" s="25" t="s">
        <v>224</v>
      </c>
      <c r="B25" s="25"/>
      <c r="C25" s="25"/>
      <c r="D25" s="25"/>
      <c r="E25" s="25"/>
      <c r="F25" s="25"/>
    </row>
  </sheetData>
  <mergeCells count="1"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2026-03-17T21:37:59Z</dcterms:created>
  <dc:creator>openpyxl</dc:creator>
  <dc:description>Gerado em 17/03/2026 18:37</dc:description>
  <dc:language>pt-BR</dc:language>
  <cp:lastModifiedBy>Alessandra Rodrigues Martinez</cp:lastModifiedBy>
  <dcterms:modified xsi:type="dcterms:W3CDTF">2026-03-18T12:16:31Z</dcterms:modified>
  <cp:revision>0</cp:revision>
  <dc:subject/>
  <dc:title>RCA Pocket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